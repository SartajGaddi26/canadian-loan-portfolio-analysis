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defaultThemeVersion="202300"/>
  <mc:AlternateContent xmlns:mc="http://schemas.openxmlformats.org/markup-compatibility/2006">
    <mc:Choice Requires="x15">
      <x15ac:absPath xmlns:x15ac="http://schemas.microsoft.com/office/spreadsheetml/2010/11/ac" url="https://d.docs.live.net/4E27D2CCF24E0B9F/Documents/"/>
    </mc:Choice>
  </mc:AlternateContent>
  <xr:revisionPtr revIDLastSave="1753" documentId="8_{C91383D9-AF77-4F0D-96C5-546B2FB526ED}" xr6:coauthVersionLast="47" xr6:coauthVersionMax="47" xr10:uidLastSave="{939FF420-705D-4BCC-B6B6-20625CE214B5}"/>
  <bookViews>
    <workbookView xWindow="-110" yWindow="-110" windowWidth="19420" windowHeight="10300" firstSheet="1" activeTab="4" xr2:uid="{8901C168-B3F3-405F-9932-6ABBD924FCD9}"/>
  </bookViews>
  <sheets>
    <sheet name="raw_data" sheetId="1" r:id="rId1"/>
    <sheet name="data_dictionary" sheetId="2" r:id="rId2"/>
    <sheet name="data_quality check" sheetId="3" r:id="rId3"/>
    <sheet name="data_clean" sheetId="4" r:id="rId4"/>
    <sheet name="Pivot_KPIs" sheetId="5" r:id="rId5"/>
    <sheet name="Dashboard" sheetId="6" r:id="rId6"/>
  </sheets>
  <definedNames>
    <definedName name="Slicer_Employment_Status">#N/A</definedName>
    <definedName name="Slicer_Loan_Purpose">#N/A</definedName>
    <definedName name="Slicer_Loan_Status">#N/A</definedName>
    <definedName name="Slicer_Province">#N/A</definedName>
    <definedName name="Slicer_Years__Funding_Dat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81" i="4" l="1" a="1"/>
  <c r="O581" i="4" s="1"/>
  <c r="O599" i="4" a="1"/>
  <c r="O599" i="4" s="1"/>
  <c r="O684" i="4" a="1"/>
  <c r="O684" i="4" s="1"/>
  <c r="O84" i="4" a="1"/>
  <c r="O84" i="4" s="1"/>
  <c r="O125" i="4" a="1"/>
  <c r="O125" i="4" s="1"/>
  <c r="O68" i="4" a="1"/>
  <c r="O68" i="4" s="1"/>
  <c r="O228" i="4" a="1"/>
  <c r="O228" i="4" s="1"/>
  <c r="O616" i="4" a="1"/>
  <c r="O616" i="4" s="1"/>
  <c r="O373" i="4" a="1"/>
  <c r="O373" i="4" s="1"/>
  <c r="O575" i="4" a="1"/>
  <c r="O575" i="4" s="1"/>
  <c r="O137" i="4" a="1"/>
  <c r="O137" i="4"/>
  <c r="O91" i="4" a="1"/>
  <c r="O91" i="4" s="1"/>
  <c r="O516" i="4" a="1"/>
  <c r="O516" i="4" s="1"/>
  <c r="O118" i="4" a="1"/>
  <c r="O118" i="4" s="1"/>
  <c r="O130" i="4" a="1"/>
  <c r="O130" i="4" s="1"/>
  <c r="O259" i="4" a="1"/>
  <c r="O259" i="4" s="1"/>
  <c r="O525" i="4" a="1"/>
  <c r="O525" i="4" s="1"/>
  <c r="O418" i="4" a="1"/>
  <c r="O418" i="4" s="1"/>
  <c r="O603" i="4" a="1"/>
  <c r="O603" i="4" s="1"/>
  <c r="O271" i="4" a="1"/>
  <c r="O271" i="4" s="1"/>
  <c r="O104" i="4" a="1"/>
  <c r="O104" i="4" s="1"/>
  <c r="O24" i="4" a="1"/>
  <c r="O24" i="4" s="1"/>
  <c r="O15" i="4" a="1"/>
  <c r="O15" i="4" s="1"/>
  <c r="O709" i="4" a="1"/>
  <c r="O709" i="4" s="1"/>
  <c r="O88" i="4" a="1"/>
  <c r="O88" i="4" s="1"/>
  <c r="O738" i="4" a="1"/>
  <c r="O738" i="4" s="1"/>
  <c r="O160" i="4" a="1"/>
  <c r="O160" i="4"/>
  <c r="O628" i="4" a="1"/>
  <c r="O628" i="4" s="1"/>
  <c r="O29" i="4" a="1"/>
  <c r="O29" i="4" s="1"/>
  <c r="O641" i="4" a="1"/>
  <c r="O641" i="4" s="1"/>
  <c r="O355" i="4" a="1"/>
  <c r="O355" i="4" s="1"/>
  <c r="O76" i="4" a="1"/>
  <c r="O76" i="4" s="1"/>
  <c r="O313" i="4" a="1"/>
  <c r="O313" i="4"/>
  <c r="O11" i="4" a="1"/>
  <c r="O11" i="4" s="1"/>
  <c r="O713" i="4" a="1"/>
  <c r="O713" i="4" s="1"/>
  <c r="O164" i="4" a="1"/>
  <c r="O164" i="4" s="1"/>
  <c r="O494" i="4" a="1"/>
  <c r="O494" i="4" s="1"/>
  <c r="O513" i="4" a="1"/>
  <c r="O513" i="4" s="1"/>
  <c r="O498" i="4" a="1"/>
  <c r="O498" i="4"/>
  <c r="O198" i="4" a="1"/>
  <c r="O198" i="4" s="1"/>
  <c r="O517" i="4" a="1"/>
  <c r="O517" i="4" s="1"/>
  <c r="O734" i="4" a="1"/>
  <c r="O734" i="4" s="1"/>
  <c r="O18" i="4" a="1"/>
  <c r="O18" i="4" s="1"/>
  <c r="O227" i="4" a="1"/>
  <c r="O227" i="4" s="1"/>
  <c r="O703" i="4" a="1"/>
  <c r="O703" i="4"/>
  <c r="O537" i="4" a="1"/>
  <c r="O537" i="4" s="1"/>
  <c r="O50" i="4" a="1"/>
  <c r="O50" i="4" s="1"/>
  <c r="O281" i="4" a="1"/>
  <c r="O281" i="4" s="1"/>
  <c r="O430" i="4" a="1"/>
  <c r="O430" i="4" s="1"/>
  <c r="O175" i="4" a="1"/>
  <c r="O175" i="4"/>
  <c r="O729" i="4" a="1"/>
  <c r="O729" i="4"/>
  <c r="O148" i="4" a="1"/>
  <c r="O148" i="4" s="1"/>
  <c r="O176" i="4" a="1"/>
  <c r="O176" i="4" s="1"/>
  <c r="O496" i="4" a="1"/>
  <c r="O496" i="4" s="1"/>
  <c r="O624" i="4" a="1"/>
  <c r="O624" i="4" s="1"/>
  <c r="O553" i="4" a="1"/>
  <c r="O553" i="4" s="1"/>
  <c r="O642" i="4" a="1"/>
  <c r="O642" i="4" s="1"/>
  <c r="O597" i="4" a="1"/>
  <c r="O597" i="4" s="1"/>
  <c r="O750" i="4" a="1"/>
  <c r="O750" i="4" s="1"/>
  <c r="O607" i="4" a="1"/>
  <c r="O607" i="4" s="1"/>
  <c r="O222" i="4" a="1"/>
  <c r="O222" i="4" s="1"/>
  <c r="O377" i="4" a="1"/>
  <c r="O377" i="4"/>
  <c r="O535" i="4" a="1"/>
  <c r="O535" i="4" s="1"/>
  <c r="O748" i="4" a="1"/>
  <c r="O748" i="4" s="1"/>
  <c r="O390" i="4" a="1"/>
  <c r="O390" i="4" s="1"/>
  <c r="O533" i="4" a="1"/>
  <c r="O533" i="4" s="1"/>
  <c r="O753" i="4" a="1"/>
  <c r="O753" i="4" s="1"/>
  <c r="O113" i="4" a="1"/>
  <c r="O113" i="4" s="1"/>
  <c r="O555" i="4" a="1"/>
  <c r="O555" i="4" s="1"/>
  <c r="O51" i="4" a="1"/>
  <c r="O51" i="4" s="1"/>
  <c r="O520" i="4" a="1"/>
  <c r="O520" i="4" s="1"/>
  <c r="O236" i="4" a="1"/>
  <c r="O236" i="4" s="1"/>
  <c r="O679" i="4" a="1"/>
  <c r="O679" i="4" s="1"/>
  <c r="O53" i="4" a="1"/>
  <c r="O53" i="4"/>
  <c r="O647" i="4" a="1"/>
  <c r="O647" i="4" s="1"/>
  <c r="O531" i="4" a="1"/>
  <c r="O531" i="4" s="1"/>
  <c r="O369" i="4" a="1"/>
  <c r="O369" i="4"/>
  <c r="O167" i="4" a="1"/>
  <c r="O167" i="4" s="1"/>
  <c r="O41" i="4" a="1"/>
  <c r="O41" i="4" s="1"/>
  <c r="O387" i="4" a="1"/>
  <c r="O387" i="4" s="1"/>
  <c r="O477" i="4" a="1"/>
  <c r="O477" i="4" s="1"/>
  <c r="O797" i="4" a="1"/>
  <c r="O797" i="4"/>
  <c r="O180" i="4" a="1"/>
  <c r="O180" i="4"/>
  <c r="O32" i="4" a="1"/>
  <c r="O32" i="4" s="1"/>
  <c r="O695" i="4" a="1"/>
  <c r="O695" i="4" s="1"/>
  <c r="O289" i="4" a="1"/>
  <c r="O289" i="4" s="1"/>
  <c r="O59" i="4" a="1"/>
  <c r="O59" i="4" s="1"/>
  <c r="O474" i="4" a="1"/>
  <c r="O474" i="4" s="1"/>
  <c r="O500" i="4" a="1"/>
  <c r="O500" i="4"/>
  <c r="O529" i="4" a="1"/>
  <c r="O529" i="4" s="1"/>
  <c r="O546" i="4" a="1"/>
  <c r="O546" i="4" s="1"/>
  <c r="O22" i="4" a="1"/>
  <c r="O22" i="4" s="1"/>
  <c r="O251" i="4" a="1"/>
  <c r="O251" i="4" s="1"/>
  <c r="O648" i="4" a="1"/>
  <c r="O648" i="4"/>
  <c r="O764" i="4" a="1"/>
  <c r="O764" i="4" s="1"/>
  <c r="O728" i="4" a="1"/>
  <c r="O728" i="4" s="1"/>
  <c r="O456" i="4" a="1"/>
  <c r="O456" i="4" s="1"/>
  <c r="O501" i="4" a="1"/>
  <c r="O501" i="4" s="1"/>
  <c r="O490" i="4" a="1"/>
  <c r="O490" i="4"/>
  <c r="O428" i="4" a="1"/>
  <c r="O428" i="4" s="1"/>
  <c r="O481" i="4" a="1"/>
  <c r="O481" i="4" s="1"/>
  <c r="O141" i="4" a="1"/>
  <c r="O141" i="4" s="1"/>
  <c r="O675" i="4" a="1"/>
  <c r="O675" i="4"/>
  <c r="O359" i="4" a="1"/>
  <c r="O359" i="4" s="1"/>
  <c r="O439" i="4" a="1"/>
  <c r="O439" i="4" s="1"/>
  <c r="O63" i="4" a="1"/>
  <c r="O63" i="4"/>
  <c r="O514" i="4" a="1"/>
  <c r="O514" i="4" s="1"/>
  <c r="O552" i="4" a="1"/>
  <c r="O552" i="4" s="1"/>
  <c r="O670" i="4" a="1"/>
  <c r="O670" i="4" s="1"/>
  <c r="O495" i="4" a="1"/>
  <c r="O495" i="4"/>
  <c r="O6" i="4" a="1"/>
  <c r="O6" i="4" s="1"/>
  <c r="O317" i="4" a="1"/>
  <c r="O317" i="4" s="1"/>
  <c r="O96" i="4" a="1"/>
  <c r="O96" i="4" s="1"/>
  <c r="O303" i="4" a="1"/>
  <c r="O303" i="4"/>
  <c r="O219" i="4" a="1"/>
  <c r="O219" i="4"/>
  <c r="O452" i="4" a="1"/>
  <c r="O452" i="4" s="1"/>
  <c r="O596" i="4" a="1"/>
  <c r="O596" i="4"/>
  <c r="O307" i="4" a="1"/>
  <c r="O307" i="4" s="1"/>
  <c r="O625" i="4" a="1"/>
  <c r="O625" i="4" s="1"/>
  <c r="O484" i="4" a="1"/>
  <c r="O484" i="4" s="1"/>
  <c r="O21" i="4" a="1"/>
  <c r="O21" i="4"/>
  <c r="O256" i="4" a="1"/>
  <c r="O256" i="4" s="1"/>
  <c r="O559" i="4" a="1"/>
  <c r="O559" i="4" s="1"/>
  <c r="O384" i="4" a="1"/>
  <c r="O384" i="4" s="1"/>
  <c r="O331" i="4" a="1"/>
  <c r="O331" i="4" s="1"/>
  <c r="O541" i="4" a="1"/>
  <c r="O541" i="4" s="1"/>
  <c r="O431" i="4" a="1"/>
  <c r="O431" i="4" s="1"/>
  <c r="O272" i="4" a="1"/>
  <c r="O272" i="4" s="1"/>
  <c r="O150" i="4" a="1"/>
  <c r="O150" i="4" s="1"/>
  <c r="O266" i="4" a="1"/>
  <c r="O266" i="4" s="1"/>
  <c r="O618" i="4" a="1"/>
  <c r="O618" i="4" s="1"/>
  <c r="O223" i="4" a="1"/>
  <c r="O223" i="4" s="1"/>
  <c r="O449" i="4" a="1"/>
  <c r="O449" i="4"/>
  <c r="O248" i="4" a="1"/>
  <c r="O248" i="4" s="1"/>
  <c r="O736" i="4" a="1"/>
  <c r="O736" i="4"/>
  <c r="O507" i="4" a="1"/>
  <c r="O507" i="4" s="1"/>
  <c r="O161" i="4" a="1"/>
  <c r="O161" i="4" s="1"/>
  <c r="O296" i="4" a="1"/>
  <c r="O296" i="4" s="1"/>
  <c r="O403" i="4" a="1"/>
  <c r="O403" i="4"/>
  <c r="O663" i="4" a="1"/>
  <c r="O663" i="4" s="1"/>
  <c r="O457" i="4" a="1"/>
  <c r="O457" i="4" s="1"/>
  <c r="O658" i="4" a="1"/>
  <c r="O658" i="4" s="1"/>
  <c r="O522" i="4" a="1"/>
  <c r="O522" i="4" s="1"/>
  <c r="O246" i="4" a="1"/>
  <c r="O246" i="4" s="1"/>
  <c r="O165" i="4" a="1"/>
  <c r="O165" i="4"/>
  <c r="O140" i="4" a="1"/>
  <c r="O140" i="4" s="1"/>
  <c r="O229" i="4" a="1"/>
  <c r="O229" i="4" s="1"/>
  <c r="O586" i="4" a="1"/>
  <c r="O586" i="4" s="1"/>
  <c r="O793" i="4" a="1"/>
  <c r="O793" i="4" s="1"/>
  <c r="O335" i="4" a="1"/>
  <c r="O335" i="4" s="1"/>
  <c r="O367" i="4" a="1"/>
  <c r="O367" i="4" s="1"/>
  <c r="O204" i="4" a="1"/>
  <c r="O204" i="4" s="1"/>
  <c r="O538" i="4" a="1"/>
  <c r="O538" i="4"/>
  <c r="O732" i="4" a="1"/>
  <c r="O732" i="4" s="1"/>
  <c r="O287" i="4" a="1"/>
  <c r="O287" i="4" s="1"/>
  <c r="O108" i="4" a="1"/>
  <c r="O108" i="4" s="1"/>
  <c r="O80" i="4" a="1"/>
  <c r="O80" i="4" s="1"/>
  <c r="O171" i="4" a="1"/>
  <c r="O171" i="4"/>
  <c r="O643" i="4" a="1"/>
  <c r="O643" i="4" s="1"/>
  <c r="O485" i="4" a="1"/>
  <c r="O485" i="4" s="1"/>
  <c r="O504" i="4" a="1"/>
  <c r="O504" i="4" s="1"/>
  <c r="O692" i="4" a="1"/>
  <c r="O692" i="4"/>
  <c r="O349" i="4" a="1"/>
  <c r="O349" i="4" s="1"/>
  <c r="O202" i="4" a="1"/>
  <c r="O202" i="4" s="1"/>
  <c r="O701" i="4" a="1"/>
  <c r="O701" i="4" s="1"/>
  <c r="O357" i="4" a="1"/>
  <c r="O357" i="4" s="1"/>
  <c r="O306" i="4" a="1"/>
  <c r="O306" i="4" s="1"/>
  <c r="O285" i="4" a="1"/>
  <c r="O285" i="4" s="1"/>
  <c r="O493" i="4" a="1"/>
  <c r="O493" i="4" s="1"/>
  <c r="O584" i="4" a="1"/>
  <c r="O584" i="4" s="1"/>
  <c r="O678" i="4" a="1"/>
  <c r="O678" i="4" s="1"/>
  <c r="O234" i="4" a="1"/>
  <c r="O234" i="4" s="1"/>
  <c r="O238" i="4" a="1"/>
  <c r="O238" i="4"/>
  <c r="O291" i="4" a="1"/>
  <c r="O291" i="4"/>
  <c r="O751" i="4" a="1"/>
  <c r="O751" i="4" s="1"/>
  <c r="O263" i="4" a="1"/>
  <c r="O263" i="4" s="1"/>
  <c r="O370" i="4" a="1"/>
  <c r="O370" i="4"/>
  <c r="O557" i="4" a="1"/>
  <c r="O557" i="4"/>
  <c r="O440" i="4" a="1"/>
  <c r="O440" i="4"/>
  <c r="O634" i="4" a="1"/>
  <c r="O634" i="4" s="1"/>
  <c r="O463" i="4" a="1"/>
  <c r="O463" i="4" s="1"/>
  <c r="O705" i="4" a="1"/>
  <c r="O705" i="4" s="1"/>
  <c r="O302" i="4" a="1"/>
  <c r="O302" i="4"/>
  <c r="O360" i="4" a="1"/>
  <c r="O360" i="4" s="1"/>
  <c r="O112" i="4" a="1"/>
  <c r="O112" i="4"/>
  <c r="O135" i="4" a="1"/>
  <c r="O135" i="4" s="1"/>
  <c r="O511" i="4" a="1"/>
  <c r="O511" i="4" s="1"/>
  <c r="O475" i="4" a="1"/>
  <c r="O475" i="4" s="1"/>
  <c r="O683" i="4" a="1"/>
  <c r="O683" i="4" s="1"/>
  <c r="O28" i="4" a="1"/>
  <c r="O28" i="4"/>
  <c r="O58" i="4" a="1"/>
  <c r="O58" i="4" s="1"/>
  <c r="O275" i="4" a="1"/>
  <c r="O275" i="4" s="1"/>
  <c r="O277" i="4" a="1"/>
  <c r="O277" i="4" s="1"/>
  <c r="O563" i="4" a="1"/>
  <c r="O563" i="4"/>
  <c r="O436" i="4" a="1"/>
  <c r="O436" i="4" s="1"/>
  <c r="O779" i="4" a="1"/>
  <c r="O779" i="4" s="1"/>
  <c r="O426" i="4" a="1"/>
  <c r="O426" i="4" s="1"/>
  <c r="O325" i="4" a="1"/>
  <c r="O325" i="4" s="1"/>
  <c r="O209" i="4" a="1"/>
  <c r="O209" i="4" s="1"/>
  <c r="O154" i="4" a="1"/>
  <c r="O154" i="4" s="1"/>
  <c r="O466" i="4" a="1"/>
  <c r="O466" i="4" s="1"/>
  <c r="O90" i="4" a="1"/>
  <c r="O90" i="4" s="1"/>
  <c r="O128" i="4" a="1"/>
  <c r="O128" i="4"/>
  <c r="O715" i="4" a="1"/>
  <c r="O715" i="4" s="1"/>
  <c r="O81" i="4" a="1"/>
  <c r="O81" i="4" s="1"/>
  <c r="O470" i="4" a="1"/>
  <c r="O470" i="4" s="1"/>
  <c r="O404" i="4" a="1"/>
  <c r="O404" i="4" s="1"/>
  <c r="O109" i="4" a="1"/>
  <c r="O109" i="4" s="1"/>
  <c r="O700" i="4" a="1"/>
  <c r="O700" i="4" s="1"/>
  <c r="O89" i="4" a="1"/>
  <c r="O89" i="4"/>
  <c r="O12" i="4" a="1"/>
  <c r="O12" i="4" s="1"/>
  <c r="O336" i="4" a="1"/>
  <c r="O336" i="4" s="1"/>
  <c r="O677" i="4" a="1"/>
  <c r="O677" i="4"/>
  <c r="O31" i="4" a="1"/>
  <c r="O31" i="4" s="1"/>
  <c r="O608" i="4" a="1"/>
  <c r="O608" i="4" s="1"/>
  <c r="O682" i="4" a="1"/>
  <c r="O682" i="4" s="1"/>
  <c r="O383" i="4" a="1"/>
  <c r="O383" i="4"/>
  <c r="O690" i="4" a="1"/>
  <c r="O690" i="4" s="1"/>
  <c r="O763" i="4" a="1"/>
  <c r="O763" i="4"/>
  <c r="O323" i="4" a="1"/>
  <c r="O323" i="4" s="1"/>
  <c r="O290" i="4" a="1"/>
  <c r="O290" i="4" s="1"/>
  <c r="O190" i="4" a="1"/>
  <c r="O190" i="4"/>
  <c r="O330" i="4" a="1"/>
  <c r="O330" i="4" s="1"/>
  <c r="O42" i="4" a="1"/>
  <c r="O42" i="4" s="1"/>
  <c r="O564" i="4" a="1"/>
  <c r="O564" i="4" s="1"/>
  <c r="O551" i="4" a="1"/>
  <c r="O551" i="4"/>
  <c r="O8" i="4" a="1"/>
  <c r="O8" i="4" s="1"/>
  <c r="O69" i="4" a="1"/>
  <c r="O69" i="4" s="1"/>
  <c r="O573" i="4" a="1"/>
  <c r="O573" i="4" s="1"/>
  <c r="O486" i="4" a="1"/>
  <c r="O486" i="4" s="1"/>
  <c r="O676" i="4" a="1"/>
  <c r="O676" i="4" s="1"/>
  <c r="O671" i="4" a="1"/>
  <c r="O671" i="4" s="1"/>
  <c r="O308" i="4" a="1"/>
  <c r="O308" i="4" s="1"/>
  <c r="O301" i="4" a="1"/>
  <c r="O301" i="4"/>
  <c r="O640" i="4" a="1"/>
  <c r="O640" i="4" s="1"/>
  <c r="O600" i="4" a="1"/>
  <c r="O600" i="4" s="1"/>
  <c r="O659" i="4" a="1"/>
  <c r="O659" i="4" s="1"/>
  <c r="O142" i="4" a="1"/>
  <c r="O142" i="4" s="1"/>
  <c r="O550" i="4" a="1"/>
  <c r="O550" i="4" s="1"/>
  <c r="O482" i="4" a="1"/>
  <c r="O482" i="4" s="1"/>
  <c r="O794" i="4" a="1"/>
  <c r="O794" i="4" s="1"/>
  <c r="O4" i="4" a="1"/>
  <c r="O4" i="4" s="1"/>
  <c r="O644" i="4" a="1"/>
  <c r="O644" i="4" s="1"/>
  <c r="O117" i="4" a="1"/>
  <c r="O117" i="4" s="1"/>
  <c r="O796" i="4" a="1"/>
  <c r="O796" i="4" s="1"/>
  <c r="O273" i="4" a="1"/>
  <c r="O273" i="4" s="1"/>
  <c r="O37" i="4" a="1"/>
  <c r="O37" i="4" s="1"/>
  <c r="O105" i="4" a="1"/>
  <c r="O105" i="4" s="1"/>
  <c r="O613" i="4" a="1"/>
  <c r="O613" i="4"/>
  <c r="O587" i="4" a="1"/>
  <c r="O587" i="4" s="1"/>
  <c r="O434" i="4" a="1"/>
  <c r="O434" i="4" s="1"/>
  <c r="O162" i="4" a="1"/>
  <c r="O162" i="4" s="1"/>
  <c r="O455" i="4" a="1"/>
  <c r="O455" i="4" s="1"/>
  <c r="O674" i="4" a="1"/>
  <c r="O674" i="4"/>
  <c r="O726" i="4" a="1"/>
  <c r="O726" i="4" s="1"/>
  <c r="O23" i="4" a="1"/>
  <c r="O23" i="4" s="1"/>
  <c r="O447" i="4" a="1"/>
  <c r="O447" i="4" s="1"/>
  <c r="O95" i="4" a="1"/>
  <c r="O95" i="4"/>
  <c r="O680" i="4" a="1"/>
  <c r="O680" i="4" s="1"/>
  <c r="O737" i="4" a="1"/>
  <c r="O737" i="4" s="1"/>
  <c r="O488" i="4" a="1"/>
  <c r="O488" i="4" s="1"/>
  <c r="O801" i="4" a="1"/>
  <c r="O801" i="4" s="1"/>
  <c r="O163" i="4" a="1"/>
  <c r="O163" i="4" s="1"/>
  <c r="O365" i="4" a="1"/>
  <c r="O365" i="4" s="1"/>
  <c r="O17" i="4" a="1"/>
  <c r="O17" i="4"/>
  <c r="O649" i="4" a="1"/>
  <c r="O649" i="4"/>
  <c r="O155" i="4" a="1"/>
  <c r="O155" i="4" s="1"/>
  <c r="O719" i="4" a="1"/>
  <c r="O719" i="4" s="1"/>
  <c r="O775" i="4" a="1"/>
  <c r="O775" i="4" s="1"/>
  <c r="O181" i="4" a="1"/>
  <c r="O181" i="4" s="1"/>
  <c r="O611" i="4" a="1"/>
  <c r="O611" i="4" s="1"/>
  <c r="O523" i="4" a="1"/>
  <c r="O523" i="4" s="1"/>
  <c r="O189" i="4" a="1"/>
  <c r="O189" i="4"/>
  <c r="O119" i="4" a="1"/>
  <c r="O119" i="4" s="1"/>
  <c r="O656" i="4" a="1"/>
  <c r="O656" i="4" s="1"/>
  <c r="O792" i="4" a="1"/>
  <c r="O792" i="4" s="1"/>
  <c r="O758" i="4" a="1"/>
  <c r="O758" i="4"/>
  <c r="O232" i="4" a="1"/>
  <c r="O232" i="4"/>
  <c r="O66" i="4" a="1"/>
  <c r="O66" i="4" s="1"/>
  <c r="O274" i="4" a="1"/>
  <c r="O274" i="4" s="1"/>
  <c r="O374" i="4" a="1"/>
  <c r="O374" i="4"/>
  <c r="O785" i="4" a="1"/>
  <c r="O785" i="4"/>
  <c r="O267" i="4" a="1"/>
  <c r="O267" i="4" s="1"/>
  <c r="O422" i="4" a="1"/>
  <c r="O422" i="4" s="1"/>
  <c r="O127" i="4" a="1"/>
  <c r="O127" i="4" s="1"/>
  <c r="O64" i="4" a="1"/>
  <c r="O64" i="4" s="1"/>
  <c r="O572" i="4" a="1"/>
  <c r="O572" i="4"/>
  <c r="O348" i="4" a="1"/>
  <c r="O348" i="4" s="1"/>
  <c r="O576" i="4" a="1"/>
  <c r="O576" i="4" s="1"/>
  <c r="O752" i="4" a="1"/>
  <c r="O752" i="4"/>
  <c r="O560" i="4" a="1"/>
  <c r="O560" i="4" s="1"/>
  <c r="O669" i="4" a="1"/>
  <c r="O669" i="4" s="1"/>
  <c r="O708" i="4" a="1"/>
  <c r="O708" i="4" s="1"/>
  <c r="O43" i="4" a="1"/>
  <c r="O43" i="4" s="1"/>
  <c r="O25" i="4" a="1"/>
  <c r="O25" i="4" s="1"/>
  <c r="O780" i="4" a="1"/>
  <c r="O780" i="4" s="1"/>
  <c r="O620" i="4" a="1"/>
  <c r="O620" i="4" s="1"/>
  <c r="O508" i="4" a="1"/>
  <c r="O508" i="4" s="1"/>
  <c r="O395" i="4" a="1"/>
  <c r="O395" i="4" s="1"/>
  <c r="O527" i="4" a="1"/>
  <c r="O527" i="4" s="1"/>
  <c r="O408" i="4" a="1"/>
  <c r="O408" i="4" s="1"/>
  <c r="O405" i="4" a="1"/>
  <c r="O405" i="4"/>
  <c r="O427" i="4" a="1"/>
  <c r="O427" i="4" s="1"/>
  <c r="O394" i="4" a="1"/>
  <c r="O394" i="4" s="1"/>
  <c r="O582" i="4" a="1"/>
  <c r="O582" i="4" s="1"/>
  <c r="O286" i="4" a="1"/>
  <c r="O286" i="4" s="1"/>
  <c r="O265" i="4" a="1"/>
  <c r="O265" i="4" s="1"/>
  <c r="O311" i="4" a="1"/>
  <c r="O311" i="4" s="1"/>
  <c r="O451" i="4" a="1"/>
  <c r="O451" i="4" s="1"/>
  <c r="O2" i="4" a="1"/>
  <c r="O2" i="4" s="1"/>
  <c r="O571" i="4" a="1"/>
  <c r="O571" i="4" s="1"/>
  <c r="O773" i="4" a="1"/>
  <c r="O773" i="4" s="1"/>
  <c r="O79" i="4" a="1"/>
  <c r="O79" i="4" s="1"/>
  <c r="O458" i="4" a="1"/>
  <c r="O458" i="4" s="1"/>
  <c r="O252" i="4" a="1"/>
  <c r="O252" i="4" s="1"/>
  <c r="O749" i="4" a="1"/>
  <c r="O749" i="4" s="1"/>
  <c r="O362" i="4" a="1"/>
  <c r="O362" i="4" s="1"/>
  <c r="O617" i="4" a="1"/>
  <c r="O617" i="4" s="1"/>
  <c r="O777" i="4" a="1"/>
  <c r="O777" i="4" s="1"/>
  <c r="O696" i="4" a="1"/>
  <c r="O696" i="4" s="1"/>
  <c r="O294" i="4" a="1"/>
  <c r="O294" i="4"/>
  <c r="O378" i="4" a="1"/>
  <c r="O378" i="4"/>
  <c r="O740" i="4" a="1"/>
  <c r="O740" i="4" s="1"/>
  <c r="O116" i="4" a="1"/>
  <c r="O116" i="4" s="1"/>
  <c r="O691" i="4" a="1"/>
  <c r="O691" i="4" s="1"/>
  <c r="O151" i="4" a="1"/>
  <c r="O151" i="4" s="1"/>
  <c r="O318" i="4" a="1"/>
  <c r="O318" i="4"/>
  <c r="O542" i="4" a="1"/>
  <c r="O542" i="4" s="1"/>
  <c r="O166" i="4" a="1"/>
  <c r="O166" i="4" s="1"/>
  <c r="O56" i="4" a="1"/>
  <c r="O56" i="4" s="1"/>
  <c r="O179" i="4" a="1"/>
  <c r="O179" i="4" s="1"/>
  <c r="O429" i="4" a="1"/>
  <c r="O429" i="4" s="1"/>
  <c r="O47" i="4" a="1"/>
  <c r="O47" i="4"/>
  <c r="O9" i="4" a="1"/>
  <c r="O9" i="4" s="1"/>
  <c r="O284" i="4" a="1"/>
  <c r="O284" i="4" s="1"/>
  <c r="O191" i="4" a="1"/>
  <c r="O191" i="4" s="1"/>
  <c r="O393" i="4" a="1"/>
  <c r="O393" i="4" s="1"/>
  <c r="O195" i="4" a="1"/>
  <c r="O195" i="4" s="1"/>
  <c r="O326" i="4" a="1"/>
  <c r="O326" i="4" s="1"/>
  <c r="O681" i="4" a="1"/>
  <c r="O681" i="4" s="1"/>
  <c r="O784" i="4" a="1"/>
  <c r="O784" i="4" s="1"/>
  <c r="O704" i="4" a="1"/>
  <c r="O704" i="4" s="1"/>
  <c r="O444" i="4" a="1"/>
  <c r="O444" i="4"/>
  <c r="O157" i="4" a="1"/>
  <c r="O157" i="4" s="1"/>
  <c r="O93" i="4" a="1"/>
  <c r="O93" i="4" s="1"/>
  <c r="O208" i="4" a="1"/>
  <c r="O208" i="4" s="1"/>
  <c r="O319" i="4" a="1"/>
  <c r="O319" i="4"/>
  <c r="O293" i="4" a="1"/>
  <c r="O293" i="4" s="1"/>
  <c r="O278" i="4" a="1"/>
  <c r="O278" i="4" s="1"/>
  <c r="O111" i="4" a="1"/>
  <c r="O111" i="4" s="1"/>
  <c r="O483" i="4" a="1"/>
  <c r="O483" i="4" s="1"/>
  <c r="O258" i="4" a="1"/>
  <c r="O258" i="4" s="1"/>
  <c r="O368" i="4" a="1"/>
  <c r="O368" i="4" s="1"/>
  <c r="O672" i="4" a="1"/>
  <c r="O672" i="4"/>
  <c r="O454" i="4" a="1"/>
  <c r="O454" i="4" s="1"/>
  <c r="O356" i="4" a="1"/>
  <c r="O356" i="4" s="1"/>
  <c r="O13" i="4" a="1"/>
  <c r="O13" i="4" s="1"/>
  <c r="O739" i="4" a="1"/>
  <c r="O739" i="4" s="1"/>
  <c r="O305" i="4" a="1"/>
  <c r="O305" i="4"/>
  <c r="O491" i="4" a="1"/>
  <c r="O491" i="4" s="1"/>
  <c r="O800" i="4" a="1"/>
  <c r="O800" i="4" s="1"/>
  <c r="O188" i="4" a="1"/>
  <c r="O188" i="4" s="1"/>
  <c r="O38" i="4" a="1"/>
  <c r="O38" i="4" s="1"/>
  <c r="O724" i="4" a="1"/>
  <c r="O724" i="4" s="1"/>
  <c r="O341" i="4" a="1"/>
  <c r="O341" i="4" s="1"/>
  <c r="O74" i="4" a="1"/>
  <c r="O74" i="4" s="1"/>
  <c r="O282" i="4" a="1"/>
  <c r="O282" i="4" s="1"/>
  <c r="O545" i="4" a="1"/>
  <c r="O545" i="4" s="1"/>
  <c r="O139" i="4" a="1"/>
  <c r="O139" i="4"/>
  <c r="O702" i="4" a="1"/>
  <c r="O702" i="4" s="1"/>
  <c r="O760" i="4" a="1"/>
  <c r="O760" i="4" s="1"/>
  <c r="O216" i="4" a="1"/>
  <c r="O216" i="4" s="1"/>
  <c r="O136" i="4" a="1"/>
  <c r="O136" i="4"/>
  <c r="O627" i="4" a="1"/>
  <c r="O627" i="4" s="1"/>
  <c r="O396" i="4" a="1"/>
  <c r="O396" i="4" s="1"/>
  <c r="O52" i="4" a="1"/>
  <c r="O52" i="4" s="1"/>
  <c r="O411" i="4" a="1"/>
  <c r="O411" i="4" s="1"/>
  <c r="O45" i="4" a="1"/>
  <c r="O45" i="4" s="1"/>
  <c r="O385" i="4" a="1"/>
  <c r="O385" i="4" s="1"/>
  <c r="O235" i="4" a="1"/>
  <c r="O235" i="4" s="1"/>
  <c r="O417" i="4" a="1"/>
  <c r="O417" i="4" s="1"/>
  <c r="O693" i="4" a="1"/>
  <c r="O693" i="4"/>
  <c r="O7" i="4" a="1"/>
  <c r="O7" i="4" s="1"/>
  <c r="O636" i="4" a="1"/>
  <c r="O636" i="4" s="1"/>
  <c r="O315" i="4" a="1"/>
  <c r="O315" i="4" s="1"/>
  <c r="O46" i="4" a="1"/>
  <c r="O46" i="4" s="1"/>
  <c r="O145" i="4" a="1"/>
  <c r="O145" i="4"/>
  <c r="O14" i="4" a="1"/>
  <c r="O14" i="4" s="1"/>
  <c r="O714" i="4" a="1"/>
  <c r="O714" i="4" s="1"/>
  <c r="O650" i="4" a="1"/>
  <c r="O650" i="4" s="1"/>
  <c r="O510" i="4" a="1"/>
  <c r="O510" i="4" s="1"/>
  <c r="O406" i="4" a="1"/>
  <c r="O406" i="4" s="1"/>
  <c r="O604" i="4" a="1"/>
  <c r="O604" i="4"/>
  <c r="O345" i="4" a="1"/>
  <c r="O345" i="4" s="1"/>
  <c r="O540" i="4" a="1"/>
  <c r="O540" i="4" s="1"/>
  <c r="O337" i="4" a="1"/>
  <c r="O337" i="4" s="1"/>
  <c r="O240" i="4" a="1"/>
  <c r="O240" i="4" s="1"/>
  <c r="O632" i="4" a="1"/>
  <c r="O632" i="4"/>
  <c r="O612" i="4" a="1"/>
  <c r="O612" i="4" s="1"/>
  <c r="O685" i="4" a="1"/>
  <c r="O685" i="4" s="1"/>
  <c r="O295" i="4" a="1"/>
  <c r="O295" i="4" s="1"/>
  <c r="O147" i="4" a="1"/>
  <c r="O147" i="4" s="1"/>
  <c r="O489" i="4" a="1"/>
  <c r="O489" i="4" s="1"/>
  <c r="O735" i="4" a="1"/>
  <c r="O735" i="4" s="1"/>
  <c r="O698" i="4" a="1"/>
  <c r="O698" i="4"/>
  <c r="O667" i="4" a="1"/>
  <c r="O667" i="4" s="1"/>
  <c r="O20" i="4" a="1"/>
  <c r="O20" i="4" s="1"/>
  <c r="O415" i="4" a="1"/>
  <c r="O415" i="4" s="1"/>
  <c r="O257" i="4" a="1"/>
  <c r="O257" i="4" s="1"/>
  <c r="O279" i="4" a="1"/>
  <c r="O279" i="4" s="1"/>
  <c r="O114" i="4" a="1"/>
  <c r="O114" i="4"/>
  <c r="O226" i="4" a="1"/>
  <c r="O226" i="4" s="1"/>
  <c r="O688" i="4" a="1"/>
  <c r="O688" i="4" s="1"/>
  <c r="O237" i="4" a="1"/>
  <c r="O237" i="4" s="1"/>
  <c r="O210" i="4" a="1"/>
  <c r="O210" i="4" s="1"/>
  <c r="O566" i="4" a="1"/>
  <c r="O566" i="4" s="1"/>
  <c r="O168" i="4" a="1"/>
  <c r="O168" i="4" s="1"/>
  <c r="O577" i="4" a="1"/>
  <c r="O577" i="4" s="1"/>
  <c r="O660" i="4" a="1"/>
  <c r="O660" i="4"/>
  <c r="O666" i="4" a="1"/>
  <c r="O666" i="4" s="1"/>
  <c r="O70" i="4" a="1"/>
  <c r="O70" i="4" s="1"/>
  <c r="O173" i="4" a="1"/>
  <c r="O173" i="4" s="1"/>
  <c r="O250" i="4" a="1"/>
  <c r="O250" i="4"/>
  <c r="O40" i="4" a="1"/>
  <c r="O40" i="4" s="1"/>
  <c r="O543" i="4" a="1"/>
  <c r="O543" i="4"/>
  <c r="O448" i="4" a="1"/>
  <c r="O448" i="4" s="1"/>
  <c r="O465" i="4" a="1"/>
  <c r="O465" i="4" s="1"/>
  <c r="O169" i="4" a="1"/>
  <c r="O169" i="4" s="1"/>
  <c r="O722" i="4" a="1"/>
  <c r="O722" i="4" s="1"/>
  <c r="O468" i="4" a="1"/>
  <c r="O468" i="4"/>
  <c r="O706" i="4" a="1"/>
  <c r="O706" i="4" s="1"/>
  <c r="O651" i="4" a="1"/>
  <c r="O651" i="4" s="1"/>
  <c r="O146" i="4" a="1"/>
  <c r="O146" i="4" s="1"/>
  <c r="O686" i="4" a="1"/>
  <c r="O686" i="4"/>
  <c r="O657" i="4" a="1"/>
  <c r="O657" i="4" s="1"/>
  <c r="O312" i="4" a="1"/>
  <c r="O312" i="4" s="1"/>
  <c r="O340" i="4" a="1"/>
  <c r="O340" i="4" s="1"/>
  <c r="O220" i="4" a="1"/>
  <c r="O220" i="4" s="1"/>
  <c r="O363" i="4" a="1"/>
  <c r="O363" i="4" s="1"/>
  <c r="O548" i="4" a="1"/>
  <c r="O548" i="4" s="1"/>
  <c r="O459" i="4" a="1"/>
  <c r="O459" i="4" s="1"/>
  <c r="O247" i="4" a="1"/>
  <c r="O247" i="4" s="1"/>
  <c r="O409" i="4" a="1"/>
  <c r="O409" i="4"/>
  <c r="O388" i="4" a="1"/>
  <c r="O388" i="4" s="1"/>
  <c r="O772" i="4" a="1"/>
  <c r="O772" i="4" s="1"/>
  <c r="O673" i="4" a="1"/>
  <c r="O673" i="4" s="1"/>
  <c r="O123" i="4" a="1"/>
  <c r="O123" i="4" s="1"/>
  <c r="O789" i="4" a="1"/>
  <c r="O789" i="4" s="1"/>
  <c r="O316" i="4" a="1"/>
  <c r="O316" i="4" s="1"/>
  <c r="O67" i="4" a="1"/>
  <c r="O67" i="4"/>
  <c r="O57" i="4" a="1"/>
  <c r="O57" i="4" s="1"/>
  <c r="O536" i="4" a="1"/>
  <c r="O536" i="4" s="1"/>
  <c r="O629" i="4" a="1"/>
  <c r="O629" i="4" s="1"/>
  <c r="O77" i="4" a="1"/>
  <c r="O77" i="4" s="1"/>
  <c r="O478" i="4" a="1"/>
  <c r="O478" i="4"/>
  <c r="O170" i="4" a="1"/>
  <c r="O170" i="4" s="1"/>
  <c r="O297" i="4" a="1"/>
  <c r="O297" i="4" s="1"/>
  <c r="O419" i="4" a="1"/>
  <c r="O419" i="4" s="1"/>
  <c r="O158" i="4" a="1"/>
  <c r="O158" i="4" s="1"/>
  <c r="O442" i="4" a="1"/>
  <c r="O442" i="4" s="1"/>
  <c r="O269" i="4" a="1"/>
  <c r="O269" i="4"/>
  <c r="O727" i="4" a="1"/>
  <c r="O727" i="4" s="1"/>
  <c r="O242" i="4" a="1"/>
  <c r="O242" i="4" s="1"/>
  <c r="O322" i="4" a="1"/>
  <c r="O322" i="4" s="1"/>
  <c r="O124" i="4" a="1"/>
  <c r="O124" i="4" s="1"/>
  <c r="O598" i="4" a="1"/>
  <c r="O598" i="4" s="1"/>
  <c r="O781" i="4" a="1"/>
  <c r="O781" i="4" s="1"/>
  <c r="O790" i="4" a="1"/>
  <c r="O790" i="4" s="1"/>
  <c r="O87" i="4" a="1"/>
  <c r="O87" i="4" s="1"/>
  <c r="O479" i="4" a="1"/>
  <c r="O479" i="4"/>
  <c r="O97" i="4" a="1"/>
  <c r="O97" i="4" s="1"/>
  <c r="O106" i="4" a="1"/>
  <c r="O106" i="4" s="1"/>
  <c r="O192" i="4" a="1"/>
  <c r="O192" i="4" s="1"/>
  <c r="O5" i="4" a="1"/>
  <c r="O5" i="4" s="1"/>
  <c r="O558" i="4" a="1"/>
  <c r="O558" i="4" s="1"/>
  <c r="O487" i="4" a="1"/>
  <c r="O487" i="4" s="1"/>
  <c r="O214" i="4" a="1"/>
  <c r="O214" i="4" s="1"/>
  <c r="O438" i="4" a="1"/>
  <c r="O438" i="4" s="1"/>
  <c r="O769" i="4" a="1"/>
  <c r="O769" i="4" s="1"/>
  <c r="O716" i="4" a="1"/>
  <c r="O716" i="4" s="1"/>
  <c r="O506" i="4" a="1"/>
  <c r="O506" i="4" s="1"/>
  <c r="O364" i="4" a="1"/>
  <c r="O364" i="4"/>
  <c r="O626" i="4" a="1"/>
  <c r="O626" i="4"/>
  <c r="O460" i="4" a="1"/>
  <c r="O460" i="4" s="1"/>
  <c r="O420" i="4" a="1"/>
  <c r="O420" i="4" s="1"/>
  <c r="O156" i="4" a="1"/>
  <c r="O156" i="4" s="1"/>
  <c r="O453" i="4" a="1"/>
  <c r="O453" i="4"/>
  <c r="O328" i="4" a="1"/>
  <c r="O328" i="4" s="1"/>
  <c r="O421" i="4" a="1"/>
  <c r="O421" i="4" s="1"/>
  <c r="O654" i="4" a="1"/>
  <c r="O654" i="4" s="1"/>
  <c r="O197" i="4" a="1"/>
  <c r="O197" i="4" s="1"/>
  <c r="O668" i="4" a="1"/>
  <c r="O668" i="4" s="1"/>
  <c r="O589" i="4" a="1"/>
  <c r="O589" i="4" s="1"/>
  <c r="O224" i="4" a="1"/>
  <c r="O224" i="4" s="1"/>
  <c r="O33" i="4" a="1"/>
  <c r="O33" i="4" s="1"/>
  <c r="O184" i="4" a="1"/>
  <c r="O184" i="4" s="1"/>
  <c r="O621" i="4" a="1"/>
  <c r="O621" i="4" s="1"/>
  <c r="O381" i="4" a="1"/>
  <c r="O381" i="4" s="1"/>
  <c r="O280" i="4" a="1"/>
  <c r="O280" i="4" s="1"/>
  <c r="O561" i="4" a="1"/>
  <c r="O561" i="4" s="1"/>
  <c r="O243" i="4" a="1"/>
  <c r="O243" i="4"/>
  <c r="O244" i="4" a="1"/>
  <c r="O244" i="4"/>
  <c r="O249" i="4" a="1"/>
  <c r="O249" i="4" s="1"/>
  <c r="O530" i="4" a="1"/>
  <c r="O530" i="4" s="1"/>
  <c r="O741" i="4" a="1"/>
  <c r="O741" i="4" s="1"/>
  <c r="O595" i="4" a="1"/>
  <c r="O595" i="4"/>
  <c r="O83" i="4" a="1"/>
  <c r="O83" i="4"/>
  <c r="O379" i="4" a="1"/>
  <c r="O379" i="4" s="1"/>
  <c r="O635" i="4" a="1"/>
  <c r="O635" i="4" s="1"/>
  <c r="O544" i="4" a="1"/>
  <c r="O544" i="4" s="1"/>
  <c r="O776" i="4" a="1"/>
  <c r="O776" i="4"/>
  <c r="O134" i="4" a="1"/>
  <c r="O134" i="4" s="1"/>
  <c r="O366" i="4" a="1"/>
  <c r="O366" i="4" s="1"/>
  <c r="O467" i="4" a="1"/>
  <c r="O467" i="4"/>
  <c r="O172" i="4" a="1"/>
  <c r="O172" i="4" s="1"/>
  <c r="O54" i="4" a="1"/>
  <c r="O54" i="4" s="1"/>
  <c r="O203" i="4" a="1"/>
  <c r="O203" i="4"/>
  <c r="O343" i="4" a="1"/>
  <c r="O343" i="4" s="1"/>
  <c r="O27" i="4" a="1"/>
  <c r="O27" i="4"/>
  <c r="O787" i="4" a="1"/>
  <c r="O787" i="4" s="1"/>
  <c r="O605" i="4" a="1"/>
  <c r="O605" i="4" s="1"/>
  <c r="O593" i="4" a="1"/>
  <c r="O593" i="4" s="1"/>
  <c r="O310" i="4" a="1"/>
  <c r="O310" i="4"/>
  <c r="O534" i="4" a="1"/>
  <c r="O534" i="4" s="1"/>
  <c r="O579" i="4" a="1"/>
  <c r="O579" i="4"/>
  <c r="O386" i="4" a="1"/>
  <c r="O386" i="4" s="1"/>
  <c r="O30" i="4" a="1"/>
  <c r="O30" i="4" s="1"/>
  <c r="O389" i="4" a="1"/>
  <c r="O389" i="4" s="1"/>
  <c r="O94" i="4" a="1"/>
  <c r="O94" i="4" s="1"/>
  <c r="O591" i="4" a="1"/>
  <c r="O591" i="4" s="1"/>
  <c r="O707" i="4" a="1"/>
  <c r="O707" i="4" s="1"/>
  <c r="O55" i="4" a="1"/>
  <c r="O55" i="4" s="1"/>
  <c r="O410" i="4" a="1"/>
  <c r="O410" i="4" s="1"/>
  <c r="O376" i="4" a="1"/>
  <c r="O376" i="4" s="1"/>
  <c r="O665" i="4" a="1"/>
  <c r="O665" i="4" s="1"/>
  <c r="O515" i="4" a="1"/>
  <c r="O515" i="4" s="1"/>
  <c r="O16" i="4" a="1"/>
  <c r="O16" i="4" s="1"/>
  <c r="O205" i="4" a="1"/>
  <c r="O205" i="4"/>
  <c r="O401" i="4" a="1"/>
  <c r="O401" i="4" s="1"/>
  <c r="O268" i="4" a="1"/>
  <c r="O268" i="4" s="1"/>
  <c r="O742" i="4" a="1"/>
  <c r="O742" i="4" s="1"/>
  <c r="O614" i="4" a="1"/>
  <c r="O614" i="4" s="1"/>
  <c r="O397" i="4" a="1"/>
  <c r="O397" i="4"/>
  <c r="O120" i="4" a="1"/>
  <c r="O120" i="4" s="1"/>
  <c r="O601" i="4" a="1"/>
  <c r="O601" i="4" s="1"/>
  <c r="O350" i="4" a="1"/>
  <c r="O350" i="4" s="1"/>
  <c r="O497" i="4" a="1"/>
  <c r="O497" i="4" s="1"/>
  <c r="O196" i="4" a="1"/>
  <c r="O196" i="4" s="1"/>
  <c r="O260" i="4" a="1"/>
  <c r="O260" i="4" s="1"/>
  <c r="O505" i="4" a="1"/>
  <c r="O505" i="4" s="1"/>
  <c r="O131" i="4" a="1"/>
  <c r="O131" i="4" s="1"/>
  <c r="O425" i="4" a="1"/>
  <c r="O425" i="4" s="1"/>
  <c r="O720" i="4" a="1"/>
  <c r="O720" i="4" s="1"/>
  <c r="O86" i="4" a="1"/>
  <c r="O86" i="4" s="1"/>
  <c r="O133" i="4" a="1"/>
  <c r="O133" i="4"/>
  <c r="O568" i="4" a="1"/>
  <c r="O568" i="4" s="1"/>
  <c r="O230" i="4" a="1"/>
  <c r="O230" i="4"/>
  <c r="O177" i="4" a="1"/>
  <c r="O177" i="4" s="1"/>
  <c r="O569" i="4" a="1"/>
  <c r="O569" i="4" s="1"/>
  <c r="O19" i="4" a="1"/>
  <c r="O19" i="4"/>
  <c r="O132" i="4" a="1"/>
  <c r="O132" i="4"/>
  <c r="O630" i="4" a="1"/>
  <c r="O630" i="4" s="1"/>
  <c r="O437" i="4" a="1"/>
  <c r="O437" i="4" s="1"/>
  <c r="O480" i="4" a="1"/>
  <c r="O480" i="4" s="1"/>
  <c r="O398" i="4" a="1"/>
  <c r="O398" i="4" s="1"/>
  <c r="O292" i="4" a="1"/>
  <c r="O292" i="4" s="1"/>
  <c r="O225" i="4" a="1"/>
  <c r="O225" i="4" s="1"/>
  <c r="O655" i="4" a="1"/>
  <c r="O655" i="4" s="1"/>
  <c r="O346" i="4" a="1"/>
  <c r="O346" i="4" s="1"/>
  <c r="O39" i="4" a="1"/>
  <c r="O39" i="4" s="1"/>
  <c r="O400" i="4" a="1"/>
  <c r="O400" i="4"/>
  <c r="O471" i="4" a="1"/>
  <c r="O471" i="4" s="1"/>
  <c r="O788" i="4" a="1"/>
  <c r="O788" i="4"/>
  <c r="O583" i="4" a="1"/>
  <c r="O583" i="4" s="1"/>
  <c r="O314" i="4" a="1"/>
  <c r="O314" i="4" s="1"/>
  <c r="O435" i="4" a="1"/>
  <c r="O435" i="4" s="1"/>
  <c r="O585" i="4" a="1"/>
  <c r="O585" i="4" s="1"/>
  <c r="O539" i="4" a="1"/>
  <c r="O539" i="4" s="1"/>
  <c r="O371" i="4" a="1"/>
  <c r="O371" i="4"/>
  <c r="O231" i="4" a="1"/>
  <c r="O231" i="4" s="1"/>
  <c r="O309" i="4" a="1"/>
  <c r="O309" i="4" s="1"/>
  <c r="O10" i="4" a="1"/>
  <c r="O10" i="4" s="1"/>
  <c r="O761" i="4" a="1"/>
  <c r="O761" i="4"/>
  <c r="O239" i="4" a="1"/>
  <c r="O239" i="4"/>
  <c r="O375" i="4" a="1"/>
  <c r="O375" i="4"/>
  <c r="O633" i="4" a="1"/>
  <c r="O633" i="4" s="1"/>
  <c r="O327" i="4" a="1"/>
  <c r="O327" i="4" s="1"/>
  <c r="O554" i="4" a="1"/>
  <c r="O554" i="4"/>
  <c r="O416" i="4" a="1"/>
  <c r="O416" i="4" s="1"/>
  <c r="O218" i="4" a="1"/>
  <c r="O218" i="4" s="1"/>
  <c r="O143" i="4" a="1"/>
  <c r="O143" i="4" s="1"/>
  <c r="O102" i="4" a="1"/>
  <c r="O102" i="4" s="1"/>
  <c r="O207" i="4" a="1"/>
  <c r="O207" i="4"/>
  <c r="O358" i="4" a="1"/>
  <c r="O358" i="4" s="1"/>
  <c r="O798" i="4" a="1"/>
  <c r="O798" i="4" s="1"/>
  <c r="O768" i="4" a="1"/>
  <c r="O768" i="4"/>
  <c r="O351" i="4" a="1"/>
  <c r="O351" i="4" s="1"/>
  <c r="O144" i="4" a="1"/>
  <c r="O144" i="4" s="1"/>
  <c r="O799" i="4" a="1"/>
  <c r="O799" i="4"/>
  <c r="O711" i="4" a="1"/>
  <c r="O711" i="4" s="1"/>
  <c r="O78" i="4" a="1"/>
  <c r="O78" i="4"/>
  <c r="O699" i="4" a="1"/>
  <c r="O699" i="4" s="1"/>
  <c r="O756" i="4" a="1"/>
  <c r="O756" i="4" s="1"/>
  <c r="O770" i="4" a="1"/>
  <c r="O770" i="4"/>
  <c r="O461" i="4" a="1"/>
  <c r="O461" i="4" s="1"/>
  <c r="O759" i="4" a="1"/>
  <c r="O759" i="4" s="1"/>
  <c r="O321" i="4" a="1"/>
  <c r="O321" i="4" s="1"/>
  <c r="O185" i="4" a="1"/>
  <c r="O185" i="4" s="1"/>
  <c r="O687" i="4" a="1"/>
  <c r="O687" i="4" s="1"/>
  <c r="O372" i="4" a="1"/>
  <c r="O372" i="4" s="1"/>
  <c r="O730" i="4" a="1"/>
  <c r="O730" i="4"/>
  <c r="O445" i="4" a="1"/>
  <c r="O445" i="4"/>
  <c r="O549" i="4" a="1"/>
  <c r="O549" i="4" s="1"/>
  <c r="O778" i="4" a="1"/>
  <c r="O778" i="4" s="1"/>
  <c r="O193" i="4" a="1"/>
  <c r="O193" i="4" s="1"/>
  <c r="O532" i="4" a="1"/>
  <c r="O532" i="4"/>
  <c r="O60" i="4" a="1"/>
  <c r="O60" i="4"/>
  <c r="O556" i="4" a="1"/>
  <c r="O556" i="4" s="1"/>
  <c r="O217" i="4" a="1"/>
  <c r="O217" i="4" s="1"/>
  <c r="O755" i="4" a="1"/>
  <c r="O755" i="4"/>
  <c r="O399" i="4" a="1"/>
  <c r="O399" i="4"/>
  <c r="O338" i="4" a="1"/>
  <c r="O338" i="4" s="1"/>
  <c r="O65" i="4" a="1"/>
  <c r="O65" i="4" s="1"/>
  <c r="O347" i="4" a="1"/>
  <c r="O347" i="4" s="1"/>
  <c r="O721" i="4" a="1"/>
  <c r="O721" i="4"/>
  <c r="O443" i="4" a="1"/>
  <c r="O443" i="4" s="1"/>
  <c r="O782" i="4" a="1"/>
  <c r="O782" i="4" s="1"/>
  <c r="O352" i="4" a="1"/>
  <c r="O352" i="4"/>
  <c r="O178" i="4" a="1"/>
  <c r="O178" i="4" s="1"/>
  <c r="O332" i="4" a="1"/>
  <c r="O332" i="4" s="1"/>
  <c r="O588" i="4" a="1"/>
  <c r="O588" i="4"/>
  <c r="O697" i="4" a="1"/>
  <c r="O697" i="4" s="1"/>
  <c r="O502" i="4" a="1"/>
  <c r="O502" i="4" s="1"/>
  <c r="O637" i="4" a="1"/>
  <c r="O637" i="4" s="1"/>
  <c r="O221" i="4" a="1"/>
  <c r="O221" i="4" s="1"/>
  <c r="O645" i="4" a="1"/>
  <c r="O645" i="4"/>
  <c r="O61" i="4" a="1"/>
  <c r="O61" i="4"/>
  <c r="O300" i="4" a="1"/>
  <c r="O300" i="4" s="1"/>
  <c r="O754" i="4" a="1"/>
  <c r="O754" i="4" s="1"/>
  <c r="O49" i="4" a="1"/>
  <c r="O49" i="4"/>
  <c r="O653" i="4" a="1"/>
  <c r="O653" i="4" s="1"/>
  <c r="O254" i="4" a="1"/>
  <c r="O254" i="4" s="1"/>
  <c r="O353" i="4" a="1"/>
  <c r="O353" i="4" s="1"/>
  <c r="O199" i="4" a="1"/>
  <c r="O199" i="4"/>
  <c r="O182" i="4" a="1"/>
  <c r="O182" i="4" s="1"/>
  <c r="O746" i="4" a="1"/>
  <c r="O746" i="4" s="1"/>
  <c r="O298" i="4" a="1"/>
  <c r="O298" i="4"/>
  <c r="O329" i="4" a="1"/>
  <c r="O329" i="4" s="1"/>
  <c r="O446" i="4" a="1"/>
  <c r="O446" i="4"/>
  <c r="O121" i="4" a="1"/>
  <c r="O121" i="4" s="1"/>
  <c r="O213" i="4" a="1"/>
  <c r="O213" i="4" s="1"/>
  <c r="O609" i="4" a="1"/>
  <c r="O609" i="4" s="1"/>
  <c r="O712" i="4" a="1"/>
  <c r="O712" i="4"/>
  <c r="O324" i="4" a="1"/>
  <c r="O324" i="4" s="1"/>
  <c r="O512" i="4" a="1"/>
  <c r="O512" i="4"/>
  <c r="O526" i="4" a="1"/>
  <c r="O526" i="4" s="1"/>
  <c r="O333" i="4" a="1"/>
  <c r="O333" i="4" s="1"/>
  <c r="O159" i="4" a="1"/>
  <c r="O159" i="4" s="1"/>
  <c r="O462" i="4" a="1"/>
  <c r="O462" i="4"/>
  <c r="O34" i="4" a="1"/>
  <c r="O34" i="4" s="1"/>
  <c r="O149" i="4" a="1"/>
  <c r="O149" i="4" s="1"/>
  <c r="O201" i="4" a="1"/>
  <c r="O201" i="4" s="1"/>
  <c r="O521" i="4" a="1"/>
  <c r="O521" i="4"/>
  <c r="O731" i="4" a="1"/>
  <c r="O731" i="4" s="1"/>
  <c r="O126" i="4" a="1"/>
  <c r="O126" i="4" s="1"/>
  <c r="O233" i="4" a="1"/>
  <c r="O233" i="4" s="1"/>
  <c r="O766" i="4" a="1"/>
  <c r="O766" i="4" s="1"/>
  <c r="O82" i="4" a="1"/>
  <c r="O82" i="4" s="1"/>
  <c r="O524" i="4" a="1"/>
  <c r="O524" i="4"/>
  <c r="O652" i="4" a="1"/>
  <c r="O652" i="4" s="1"/>
  <c r="O100" i="4" a="1"/>
  <c r="O100" i="4" s="1"/>
  <c r="O710" i="4" a="1"/>
  <c r="O710" i="4"/>
  <c r="O631" i="4" a="1"/>
  <c r="O631" i="4" s="1"/>
  <c r="O765" i="4" a="1"/>
  <c r="O765" i="4" s="1"/>
  <c r="O464" i="4" a="1"/>
  <c r="O464" i="4" s="1"/>
  <c r="O402" i="4" a="1"/>
  <c r="O402" i="4" s="1"/>
  <c r="O382" i="4" a="1"/>
  <c r="O382" i="4"/>
  <c r="O562" i="4" a="1"/>
  <c r="O562" i="4" s="1"/>
  <c r="O36" i="4" a="1"/>
  <c r="O36" i="4"/>
  <c r="O71" i="4" a="1"/>
  <c r="O71" i="4" s="1"/>
  <c r="O503" i="4" a="1"/>
  <c r="O503" i="4" s="1"/>
  <c r="O211" i="4" a="1"/>
  <c r="O211" i="4" s="1"/>
  <c r="O153" i="4" a="1"/>
  <c r="O153" i="4"/>
  <c r="O344" i="4" a="1"/>
  <c r="O344" i="4" s="1"/>
  <c r="O662" i="4" a="1"/>
  <c r="O662" i="4" s="1"/>
  <c r="O206" i="4" a="1"/>
  <c r="O206" i="4" s="1"/>
  <c r="O48" i="4" a="1"/>
  <c r="O48" i="4"/>
  <c r="O639" i="4" a="1"/>
  <c r="O639" i="4"/>
  <c r="O694" i="4" a="1"/>
  <c r="O694" i="4"/>
  <c r="O733" i="4" a="1"/>
  <c r="O733" i="4" s="1"/>
  <c r="O725" i="4" a="1"/>
  <c r="O725" i="4" s="1"/>
  <c r="O570" i="4" a="1"/>
  <c r="O570" i="4"/>
  <c r="O786" i="4" a="1"/>
  <c r="O786" i="4" s="1"/>
  <c r="O762" i="4" a="1"/>
  <c r="O762" i="4" s="1"/>
  <c r="O590" i="4" a="1"/>
  <c r="O590" i="4" s="1"/>
  <c r="O99" i="4" a="1"/>
  <c r="O99" i="4" s="1"/>
  <c r="O407" i="4" a="1"/>
  <c r="O407" i="4" s="1"/>
  <c r="O476" i="4" a="1"/>
  <c r="O476" i="4" s="1"/>
  <c r="O299" i="4" a="1"/>
  <c r="O299" i="4"/>
  <c r="O186" i="4" a="1"/>
  <c r="O186" i="4" s="1"/>
  <c r="O270" i="4" a="1"/>
  <c r="O270" i="4"/>
  <c r="O638" i="4" a="1"/>
  <c r="O638" i="4" s="1"/>
  <c r="O610" i="4" a="1"/>
  <c r="O610" i="4" s="1"/>
  <c r="O492" i="4" a="1"/>
  <c r="O492" i="4" s="1"/>
  <c r="O320" i="4" a="1"/>
  <c r="O320" i="4" s="1"/>
  <c r="O472" i="4" a="1"/>
  <c r="O472" i="4" s="1"/>
  <c r="O689" i="4" a="1"/>
  <c r="O689" i="4"/>
  <c r="O623" i="4" a="1"/>
  <c r="O623" i="4" s="1"/>
  <c r="O413" i="4" a="1"/>
  <c r="O413" i="4" s="1"/>
  <c r="O450" i="4" a="1"/>
  <c r="O450" i="4" s="1"/>
  <c r="O547" i="4" a="1"/>
  <c r="O547" i="4"/>
  <c r="O509" i="4" a="1"/>
  <c r="O509" i="4"/>
  <c r="O115" i="4" a="1"/>
  <c r="O115" i="4"/>
  <c r="O85" i="4" a="1"/>
  <c r="O85" i="4" s="1"/>
  <c r="O283" i="4" a="1"/>
  <c r="O283" i="4"/>
  <c r="O424" i="4" a="1"/>
  <c r="O424" i="4"/>
  <c r="O757" i="4" a="1"/>
  <c r="O757" i="4" s="1"/>
  <c r="O594" i="4" a="1"/>
  <c r="O594" i="4" s="1"/>
  <c r="O661" i="4" a="1"/>
  <c r="O661" i="4" s="1"/>
  <c r="O288" i="4" a="1"/>
  <c r="O288" i="4" s="1"/>
  <c r="O129" i="4" a="1"/>
  <c r="O129" i="4"/>
  <c r="O107" i="4" a="1"/>
  <c r="O107" i="4" s="1"/>
  <c r="O622" i="4" a="1"/>
  <c r="O622" i="4" s="1"/>
  <c r="O433" i="4" a="1"/>
  <c r="O433" i="4"/>
  <c r="O646" i="4" a="1"/>
  <c r="O646" i="4" s="1"/>
  <c r="O98" i="4" a="1"/>
  <c r="O98" i="4" s="1"/>
  <c r="O200" i="4" a="1"/>
  <c r="O200" i="4"/>
  <c r="O138" i="4" a="1"/>
  <c r="O138" i="4" s="1"/>
  <c r="O101" i="4" a="1"/>
  <c r="O101" i="4"/>
  <c r="O578" i="4" a="1"/>
  <c r="O578" i="4" s="1"/>
  <c r="O717" i="4" a="1"/>
  <c r="O717" i="4"/>
  <c r="O469" i="4" a="1"/>
  <c r="O469" i="4"/>
  <c r="O44" i="4" a="1"/>
  <c r="O44" i="4" s="1"/>
  <c r="O580" i="4" a="1"/>
  <c r="O580" i="4" s="1"/>
  <c r="O194" i="4" a="1"/>
  <c r="O194" i="4" s="1"/>
  <c r="O615" i="4" a="1"/>
  <c r="O615" i="4" s="1"/>
  <c r="O747" i="4" a="1"/>
  <c r="O747" i="4" s="1"/>
  <c r="O35" i="4" a="1"/>
  <c r="O35" i="4" s="1"/>
  <c r="O183" i="4" a="1"/>
  <c r="O183" i="4"/>
  <c r="O441" i="4" a="1"/>
  <c r="O441" i="4"/>
  <c r="O567" i="4" a="1"/>
  <c r="O567" i="4" s="1"/>
  <c r="O276" i="4" a="1"/>
  <c r="O276" i="4" s="1"/>
  <c r="O592" i="4" a="1"/>
  <c r="O592" i="4" s="1"/>
  <c r="O241" i="4" a="1"/>
  <c r="O241" i="4"/>
  <c r="O718" i="4" a="1"/>
  <c r="O718" i="4"/>
  <c r="O110" i="4" a="1"/>
  <c r="O110" i="4" s="1"/>
  <c r="O565" i="4" a="1"/>
  <c r="O565" i="4" s="1"/>
  <c r="O3" i="4" a="1"/>
  <c r="O3" i="4"/>
  <c r="O795" i="4" a="1"/>
  <c r="O795" i="4"/>
  <c r="O499" i="4" a="1"/>
  <c r="O499" i="4" s="1"/>
  <c r="O152" i="4" a="1"/>
  <c r="O152" i="4"/>
  <c r="O212" i="4" a="1"/>
  <c r="O212" i="4" s="1"/>
  <c r="O73" i="4" a="1"/>
  <c r="O73" i="4" s="1"/>
  <c r="O255" i="4" a="1"/>
  <c r="O255" i="4" s="1"/>
  <c r="O92" i="4" a="1"/>
  <c r="O92" i="4" s="1"/>
  <c r="O791" i="4" a="1"/>
  <c r="O791" i="4" s="1"/>
  <c r="O473" i="4" a="1"/>
  <c r="O473" i="4"/>
  <c r="O619" i="4" a="1"/>
  <c r="O619" i="4" s="1"/>
  <c r="O354" i="4" a="1"/>
  <c r="O354" i="4" s="1"/>
  <c r="O103" i="4" a="1"/>
  <c r="O103" i="4"/>
  <c r="O519" i="4" a="1"/>
  <c r="O519" i="4" s="1"/>
  <c r="O574" i="4" a="1"/>
  <c r="O574" i="4" s="1"/>
  <c r="O342" i="4" a="1"/>
  <c r="O342" i="4" s="1"/>
  <c r="O743" i="4" a="1"/>
  <c r="O743" i="4" s="1"/>
  <c r="O62" i="4" a="1"/>
  <c r="O62" i="4" s="1"/>
  <c r="O334" i="4" a="1"/>
  <c r="O334" i="4" s="1"/>
  <c r="O264" i="4" a="1"/>
  <c r="O264" i="4"/>
  <c r="O412" i="4" a="1"/>
  <c r="O412" i="4"/>
  <c r="O606" i="4" a="1"/>
  <c r="O606" i="4" s="1"/>
  <c r="O253" i="4" a="1"/>
  <c r="O253" i="4" s="1"/>
  <c r="O26" i="4" a="1"/>
  <c r="O26" i="4"/>
  <c r="O414" i="4" a="1"/>
  <c r="O414" i="4" s="1"/>
  <c r="O392" i="4" a="1"/>
  <c r="O392" i="4"/>
  <c r="O261" i="4" a="1"/>
  <c r="O261" i="4" s="1"/>
  <c r="O723" i="4" a="1"/>
  <c r="O723" i="4" s="1"/>
  <c r="O771" i="4" a="1"/>
  <c r="O771" i="4"/>
  <c r="O72" i="4" a="1"/>
  <c r="O72" i="4"/>
  <c r="O122" i="4" a="1"/>
  <c r="O122" i="4" s="1"/>
  <c r="O744" i="4" a="1"/>
  <c r="O744" i="4" s="1"/>
  <c r="O215" i="4" a="1"/>
  <c r="O215" i="4" s="1"/>
  <c r="O664" i="4" a="1"/>
  <c r="O664" i="4" s="1"/>
  <c r="O361" i="4" a="1"/>
  <c r="O361" i="4" s="1"/>
  <c r="O304" i="4" a="1"/>
  <c r="O304" i="4" s="1"/>
  <c r="O174" i="4" a="1"/>
  <c r="O174" i="4" s="1"/>
  <c r="O75" i="4" a="1"/>
  <c r="O75" i="4" s="1"/>
  <c r="O528" i="4" a="1"/>
  <c r="O528" i="4" s="1"/>
  <c r="O432" i="4" a="1"/>
  <c r="O432" i="4" s="1"/>
  <c r="O783" i="4" a="1"/>
  <c r="O783" i="4"/>
  <c r="O380" i="4" a="1"/>
  <c r="O380" i="4" s="1"/>
  <c r="O339" i="4" a="1"/>
  <c r="O339" i="4" s="1"/>
  <c r="O767" i="4" a="1"/>
  <c r="O767" i="4" s="1"/>
  <c r="O245" i="4" a="1"/>
  <c r="O245" i="4" s="1"/>
  <c r="O187" i="4" a="1"/>
  <c r="O187" i="4" s="1"/>
  <c r="O774" i="4" a="1"/>
  <c r="O774" i="4" s="1"/>
  <c r="O602" i="4" a="1"/>
  <c r="O602" i="4"/>
  <c r="O423" i="4" a="1"/>
  <c r="O423" i="4" s="1"/>
  <c r="O391" i="4" a="1"/>
  <c r="O391" i="4" s="1"/>
  <c r="O518" i="4" a="1"/>
  <c r="O518" i="4" s="1"/>
  <c r="O745" i="4" a="1"/>
  <c r="O745" i="4"/>
  <c r="O262" i="4" a="1"/>
  <c r="O262" i="4"/>
  <c r="F2" i="3"/>
  <c r="B6" i="3"/>
  <c r="B5" i="3"/>
  <c r="B4" i="3"/>
  <c r="B3" i="3"/>
  <c r="B2" i="3"/>
  <c r="B10" i="5"/>
  <c r="E15" i="5"/>
  <c r="B9" i="5"/>
  <c r="B11" i="5"/>
  <c r="B8" i="5"/>
  <c r="B12" i="5"/>
  <c r="E16"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<sst xmlns="http://schemas.openxmlformats.org/spreadsheetml/2006/main" count="9756" uniqueCount="918">
  <si>
    <t>Loan_ID</t>
  </si>
  <si>
    <t>Province</t>
  </si>
  <si>
    <t>City_Tier</t>
  </si>
  <si>
    <t>Loan_Purpose</t>
  </si>
  <si>
    <t>Loan_Amount_CAD</t>
  </si>
  <si>
    <t>Interest_Rate_%</t>
  </si>
  <si>
    <t>Loan_Term_Months</t>
  </si>
  <si>
    <t>Annual_Income_CAD</t>
  </si>
  <si>
    <t>Credit_Score</t>
  </si>
  <si>
    <t>Employment_Status</t>
  </si>
  <si>
    <t>Years_Employed</t>
  </si>
  <si>
    <t>Debt_to_Income_%</t>
  </si>
  <si>
    <t>Loan_Status</t>
  </si>
  <si>
    <t>Funding_Date</t>
  </si>
  <si>
    <t>CL100000</t>
  </si>
  <si>
    <t>Quebec</t>
  </si>
  <si>
    <t>Tier 2</t>
  </si>
  <si>
    <t>Mortgage</t>
  </si>
  <si>
    <t>Salaried</t>
  </si>
  <si>
    <t>Fully Paid</t>
  </si>
  <si>
    <t>CL100001</t>
  </si>
  <si>
    <t>New Brunswick</t>
  </si>
  <si>
    <t>Tier 1</t>
  </si>
  <si>
    <t>Current</t>
  </si>
  <si>
    <t>CL100002</t>
  </si>
  <si>
    <t>Alberta</t>
  </si>
  <si>
    <t>Self-Employed</t>
  </si>
  <si>
    <t>CL100003</t>
  </si>
  <si>
    <t>British Columbia</t>
  </si>
  <si>
    <t>CL100004</t>
  </si>
  <si>
    <t>Ontario</t>
  </si>
  <si>
    <t>CL100005</t>
  </si>
  <si>
    <t>Auto</t>
  </si>
  <si>
    <t>CL100006</t>
  </si>
  <si>
    <t>Tier 3</t>
  </si>
  <si>
    <t>Unemployed</t>
  </si>
  <si>
    <t>CL100007</t>
  </si>
  <si>
    <t>Manitoba</t>
  </si>
  <si>
    <t>Debt Consolidation</t>
  </si>
  <si>
    <t>Contract</t>
  </si>
  <si>
    <t>CL100008</t>
  </si>
  <si>
    <t>CL100009</t>
  </si>
  <si>
    <t>CL100010</t>
  </si>
  <si>
    <t>Education</t>
  </si>
  <si>
    <t>CL100011</t>
  </si>
  <si>
    <t>Personal</t>
  </si>
  <si>
    <t>CL100012</t>
  </si>
  <si>
    <t>CL100013</t>
  </si>
  <si>
    <t>Charged Off</t>
  </si>
  <si>
    <t>CL100014</t>
  </si>
  <si>
    <t>CL100015</t>
  </si>
  <si>
    <t>CL100016</t>
  </si>
  <si>
    <t>Business</t>
  </si>
  <si>
    <t>CL100017</t>
  </si>
  <si>
    <t>CL100018</t>
  </si>
  <si>
    <t>Delinquent</t>
  </si>
  <si>
    <t>CL100019</t>
  </si>
  <si>
    <t>CL100020</t>
  </si>
  <si>
    <t>CL100021</t>
  </si>
  <si>
    <t>CL100022</t>
  </si>
  <si>
    <t>CL100023</t>
  </si>
  <si>
    <t>CL100024</t>
  </si>
  <si>
    <t>CL100025</t>
  </si>
  <si>
    <t>CL100026</t>
  </si>
  <si>
    <t>CL100027</t>
  </si>
  <si>
    <t>CL100028</t>
  </si>
  <si>
    <t>CL100029</t>
  </si>
  <si>
    <t>CL100030</t>
  </si>
  <si>
    <t>CL100031</t>
  </si>
  <si>
    <t>CL100032</t>
  </si>
  <si>
    <t>CL100033</t>
  </si>
  <si>
    <t>Nova Scotia</t>
  </si>
  <si>
    <t>CL100034</t>
  </si>
  <si>
    <t>Home Improvement</t>
  </si>
  <si>
    <t>CL100035</t>
  </si>
  <si>
    <t>CL100036</t>
  </si>
  <si>
    <t>CL100037</t>
  </si>
  <si>
    <t>CL100038</t>
  </si>
  <si>
    <t>CL100039</t>
  </si>
  <si>
    <t>CL100040</t>
  </si>
  <si>
    <t>CL100041</t>
  </si>
  <si>
    <t>CL100042</t>
  </si>
  <si>
    <t>CL100043</t>
  </si>
  <si>
    <t>Saskatchewan</t>
  </si>
  <si>
    <t>CL100044</t>
  </si>
  <si>
    <t>CL100045</t>
  </si>
  <si>
    <t>CL100046</t>
  </si>
  <si>
    <t>CL100047</t>
  </si>
  <si>
    <t>CL100048</t>
  </si>
  <si>
    <t>CL100049</t>
  </si>
  <si>
    <t>CL100050</t>
  </si>
  <si>
    <t>CL100051</t>
  </si>
  <si>
    <t>CL100052</t>
  </si>
  <si>
    <t>CL100053</t>
  </si>
  <si>
    <t>CL100054</t>
  </si>
  <si>
    <t>CL100055</t>
  </si>
  <si>
    <t>CL100056</t>
  </si>
  <si>
    <t>CL100057</t>
  </si>
  <si>
    <t>CL100058</t>
  </si>
  <si>
    <t>CL100059</t>
  </si>
  <si>
    <t>CL100060</t>
  </si>
  <si>
    <t>CL100061</t>
  </si>
  <si>
    <t>CL100062</t>
  </si>
  <si>
    <t>CL100063</t>
  </si>
  <si>
    <t>CL100064</t>
  </si>
  <si>
    <t>CL100065</t>
  </si>
  <si>
    <t>CL100066</t>
  </si>
  <si>
    <t>CL100067</t>
  </si>
  <si>
    <t>CL100068</t>
  </si>
  <si>
    <t>CL100069</t>
  </si>
  <si>
    <t>Newfoundland and Labrador</t>
  </si>
  <si>
    <t>CL100070</t>
  </si>
  <si>
    <t>CL100071</t>
  </si>
  <si>
    <t>CL100072</t>
  </si>
  <si>
    <t>CL100073</t>
  </si>
  <si>
    <t>CL100074</t>
  </si>
  <si>
    <t>CL100075</t>
  </si>
  <si>
    <t>CL100076</t>
  </si>
  <si>
    <t>CL100077</t>
  </si>
  <si>
    <t>CL100078</t>
  </si>
  <si>
    <t>CL100079</t>
  </si>
  <si>
    <t>CL100080</t>
  </si>
  <si>
    <t>CL100081</t>
  </si>
  <si>
    <t>CL100082</t>
  </si>
  <si>
    <t>CL100083</t>
  </si>
  <si>
    <t>CL100084</t>
  </si>
  <si>
    <t>CL100085</t>
  </si>
  <si>
    <t>CL100086</t>
  </si>
  <si>
    <t>CL100087</t>
  </si>
  <si>
    <t>CL100088</t>
  </si>
  <si>
    <t>CL100089</t>
  </si>
  <si>
    <t>CL100090</t>
  </si>
  <si>
    <t>CL100091</t>
  </si>
  <si>
    <t>CL100092</t>
  </si>
  <si>
    <t>CL100093</t>
  </si>
  <si>
    <t>CL100094</t>
  </si>
  <si>
    <t>CL100095</t>
  </si>
  <si>
    <t>CL100096</t>
  </si>
  <si>
    <t>CL100097</t>
  </si>
  <si>
    <t>CL100098</t>
  </si>
  <si>
    <t>CL100099</t>
  </si>
  <si>
    <t>CL100100</t>
  </si>
  <si>
    <t>CL100101</t>
  </si>
  <si>
    <t>CL100102</t>
  </si>
  <si>
    <t>CL100103</t>
  </si>
  <si>
    <t>CL100104</t>
  </si>
  <si>
    <t>CL100105</t>
  </si>
  <si>
    <t>CL100106</t>
  </si>
  <si>
    <t>CL100107</t>
  </si>
  <si>
    <t>CL100108</t>
  </si>
  <si>
    <t>CL100109</t>
  </si>
  <si>
    <t>CL100110</t>
  </si>
  <si>
    <t>CL100111</t>
  </si>
  <si>
    <t>CL100112</t>
  </si>
  <si>
    <t>CL100113</t>
  </si>
  <si>
    <t>CL100114</t>
  </si>
  <si>
    <t>CL100115</t>
  </si>
  <si>
    <t>CL100116</t>
  </si>
  <si>
    <t>CL100117</t>
  </si>
  <si>
    <t>CL100118</t>
  </si>
  <si>
    <t>CL100119</t>
  </si>
  <si>
    <t>CL100120</t>
  </si>
  <si>
    <t>CL100121</t>
  </si>
  <si>
    <t>CL100122</t>
  </si>
  <si>
    <t>CL100123</t>
  </si>
  <si>
    <t>CL100124</t>
  </si>
  <si>
    <t>CL100125</t>
  </si>
  <si>
    <t>CL100126</t>
  </si>
  <si>
    <t>CL100127</t>
  </si>
  <si>
    <t>CL100128</t>
  </si>
  <si>
    <t>CL100129</t>
  </si>
  <si>
    <t>CL100130</t>
  </si>
  <si>
    <t>CL100131</t>
  </si>
  <si>
    <t>CL100132</t>
  </si>
  <si>
    <t>CL100133</t>
  </si>
  <si>
    <t>CL100134</t>
  </si>
  <si>
    <t>CL100135</t>
  </si>
  <si>
    <t>CL100136</t>
  </si>
  <si>
    <t>CL100137</t>
  </si>
  <si>
    <t>CL100138</t>
  </si>
  <si>
    <t>CL100139</t>
  </si>
  <si>
    <t>CL100140</t>
  </si>
  <si>
    <t>CL100141</t>
  </si>
  <si>
    <t>CL100142</t>
  </si>
  <si>
    <t>CL100143</t>
  </si>
  <si>
    <t>CL100144</t>
  </si>
  <si>
    <t>CL100145</t>
  </si>
  <si>
    <t>CL100146</t>
  </si>
  <si>
    <t>CL100147</t>
  </si>
  <si>
    <t>CL100148</t>
  </si>
  <si>
    <t>CL100149</t>
  </si>
  <si>
    <t>CL100150</t>
  </si>
  <si>
    <t>CL100151</t>
  </si>
  <si>
    <t>CL100152</t>
  </si>
  <si>
    <t>CL100153</t>
  </si>
  <si>
    <t>CL100154</t>
  </si>
  <si>
    <t>CL100155</t>
  </si>
  <si>
    <t>CL100156</t>
  </si>
  <si>
    <t>CL100157</t>
  </si>
  <si>
    <t>CL100158</t>
  </si>
  <si>
    <t>CL100159</t>
  </si>
  <si>
    <t>CL100160</t>
  </si>
  <si>
    <t>CL100161</t>
  </si>
  <si>
    <t>CL100162</t>
  </si>
  <si>
    <t>CL100163</t>
  </si>
  <si>
    <t>CL100164</t>
  </si>
  <si>
    <t>CL100165</t>
  </si>
  <si>
    <t>CL100166</t>
  </si>
  <si>
    <t>CL100167</t>
  </si>
  <si>
    <t>CL100168</t>
  </si>
  <si>
    <t>CL100169</t>
  </si>
  <si>
    <t>CL100170</t>
  </si>
  <si>
    <t>CL100171</t>
  </si>
  <si>
    <t>CL100172</t>
  </si>
  <si>
    <t>CL100173</t>
  </si>
  <si>
    <t>CL100174</t>
  </si>
  <si>
    <t>CL100175</t>
  </si>
  <si>
    <t>CL100176</t>
  </si>
  <si>
    <t>CL100177</t>
  </si>
  <si>
    <t>CL100178</t>
  </si>
  <si>
    <t>CL100179</t>
  </si>
  <si>
    <t>CL100180</t>
  </si>
  <si>
    <t>CL100181</t>
  </si>
  <si>
    <t>CL100182</t>
  </si>
  <si>
    <t>CL100183</t>
  </si>
  <si>
    <t>CL100184</t>
  </si>
  <si>
    <t>CL100185</t>
  </si>
  <si>
    <t>CL100186</t>
  </si>
  <si>
    <t>CL100187</t>
  </si>
  <si>
    <t>CL100188</t>
  </si>
  <si>
    <t>CL100189</t>
  </si>
  <si>
    <t>CL100190</t>
  </si>
  <si>
    <t>CL100191</t>
  </si>
  <si>
    <t>CL100192</t>
  </si>
  <si>
    <t>CL100193</t>
  </si>
  <si>
    <t>CL100194</t>
  </si>
  <si>
    <t>CL100195</t>
  </si>
  <si>
    <t>CL100196</t>
  </si>
  <si>
    <t>CL100197</t>
  </si>
  <si>
    <t>CL100198</t>
  </si>
  <si>
    <t>CL100199</t>
  </si>
  <si>
    <t>CL100200</t>
  </si>
  <si>
    <t>CL100201</t>
  </si>
  <si>
    <t>CL100202</t>
  </si>
  <si>
    <t>CL100203</t>
  </si>
  <si>
    <t>CL100204</t>
  </si>
  <si>
    <t>CL100205</t>
  </si>
  <si>
    <t>CL100206</t>
  </si>
  <si>
    <t>CL100207</t>
  </si>
  <si>
    <t>CL100208</t>
  </si>
  <si>
    <t>CL100209</t>
  </si>
  <si>
    <t>CL100210</t>
  </si>
  <si>
    <t>CL100211</t>
  </si>
  <si>
    <t>CL100212</t>
  </si>
  <si>
    <t>CL100213</t>
  </si>
  <si>
    <t>CL100214</t>
  </si>
  <si>
    <t>CL100215</t>
  </si>
  <si>
    <t>CL100216</t>
  </si>
  <si>
    <t>CL100217</t>
  </si>
  <si>
    <t>CL100218</t>
  </si>
  <si>
    <t>CL100219</t>
  </si>
  <si>
    <t>CL100220</t>
  </si>
  <si>
    <t>CL100221</t>
  </si>
  <si>
    <t>CL100222</t>
  </si>
  <si>
    <t>CL100223</t>
  </si>
  <si>
    <t>CL100224</t>
  </si>
  <si>
    <t>CL100225</t>
  </si>
  <si>
    <t>CL100226</t>
  </si>
  <si>
    <t>CL100227</t>
  </si>
  <si>
    <t>CL100228</t>
  </si>
  <si>
    <t>CL100229</t>
  </si>
  <si>
    <t>CL100230</t>
  </si>
  <si>
    <t>CL100231</t>
  </si>
  <si>
    <t>CL100232</t>
  </si>
  <si>
    <t>CL100233</t>
  </si>
  <si>
    <t>CL100234</t>
  </si>
  <si>
    <t>CL100235</t>
  </si>
  <si>
    <t>CL100236</t>
  </si>
  <si>
    <t>CL100237</t>
  </si>
  <si>
    <t>CL100238</t>
  </si>
  <si>
    <t>CL100239</t>
  </si>
  <si>
    <t>CL100240</t>
  </si>
  <si>
    <t>CL100241</t>
  </si>
  <si>
    <t>CL100242</t>
  </si>
  <si>
    <t>CL100243</t>
  </si>
  <si>
    <t>CL100244</t>
  </si>
  <si>
    <t>CL100245</t>
  </si>
  <si>
    <t>CL100246</t>
  </si>
  <si>
    <t>CL100247</t>
  </si>
  <si>
    <t>CL100248</t>
  </si>
  <si>
    <t>CL100249</t>
  </si>
  <si>
    <t>CL100250</t>
  </si>
  <si>
    <t>CL100251</t>
  </si>
  <si>
    <t>CL100252</t>
  </si>
  <si>
    <t>CL100253</t>
  </si>
  <si>
    <t>CL100254</t>
  </si>
  <si>
    <t>CL100255</t>
  </si>
  <si>
    <t>CL100256</t>
  </si>
  <si>
    <t>CL100257</t>
  </si>
  <si>
    <t>CL100258</t>
  </si>
  <si>
    <t>CL100259</t>
  </si>
  <si>
    <t>CL100260</t>
  </si>
  <si>
    <t>CL100261</t>
  </si>
  <si>
    <t>Prince Edward Island</t>
  </si>
  <si>
    <t>CL100262</t>
  </si>
  <si>
    <t>CL100263</t>
  </si>
  <si>
    <t>CL100264</t>
  </si>
  <si>
    <t>CL100265</t>
  </si>
  <si>
    <t>CL100266</t>
  </si>
  <si>
    <t>CL100267</t>
  </si>
  <si>
    <t>CL100268</t>
  </si>
  <si>
    <t>CL100269</t>
  </si>
  <si>
    <t>CL100270</t>
  </si>
  <si>
    <t>CL100271</t>
  </si>
  <si>
    <t>CL100272</t>
  </si>
  <si>
    <t>CL100273</t>
  </si>
  <si>
    <t>CL100274</t>
  </si>
  <si>
    <t>CL100275</t>
  </si>
  <si>
    <t>CL100276</t>
  </si>
  <si>
    <t>CL100277</t>
  </si>
  <si>
    <t>CL100278</t>
  </si>
  <si>
    <t>CL100279</t>
  </si>
  <si>
    <t>CL100280</t>
  </si>
  <si>
    <t>CL100281</t>
  </si>
  <si>
    <t>CL100282</t>
  </si>
  <si>
    <t>CL100283</t>
  </si>
  <si>
    <t>CL100284</t>
  </si>
  <si>
    <t>CL100285</t>
  </si>
  <si>
    <t>CL100286</t>
  </si>
  <si>
    <t>CL100287</t>
  </si>
  <si>
    <t>CL100288</t>
  </si>
  <si>
    <t>CL100289</t>
  </si>
  <si>
    <t>CL100290</t>
  </si>
  <si>
    <t>CL100291</t>
  </si>
  <si>
    <t>CL100292</t>
  </si>
  <si>
    <t>CL100293</t>
  </si>
  <si>
    <t>CL100294</t>
  </si>
  <si>
    <t>CL100295</t>
  </si>
  <si>
    <t>CL100296</t>
  </si>
  <si>
    <t>CL100297</t>
  </si>
  <si>
    <t>CL100298</t>
  </si>
  <si>
    <t>CL100299</t>
  </si>
  <si>
    <t>CL100300</t>
  </si>
  <si>
    <t>CL100301</t>
  </si>
  <si>
    <t>CL100302</t>
  </si>
  <si>
    <t>CL100303</t>
  </si>
  <si>
    <t>CL100304</t>
  </si>
  <si>
    <t>CL100305</t>
  </si>
  <si>
    <t>CL100306</t>
  </si>
  <si>
    <t>CL100307</t>
  </si>
  <si>
    <t>CL100308</t>
  </si>
  <si>
    <t>CL100309</t>
  </si>
  <si>
    <t>CL100310</t>
  </si>
  <si>
    <t>CL100311</t>
  </si>
  <si>
    <t>CL100312</t>
  </si>
  <si>
    <t>CL100313</t>
  </si>
  <si>
    <t>CL100314</t>
  </si>
  <si>
    <t>CL100315</t>
  </si>
  <si>
    <t>CL100316</t>
  </si>
  <si>
    <t>CL100317</t>
  </si>
  <si>
    <t>CL100318</t>
  </si>
  <si>
    <t>CL100319</t>
  </si>
  <si>
    <t>CL100320</t>
  </si>
  <si>
    <t>CL100321</t>
  </si>
  <si>
    <t>CL100322</t>
  </si>
  <si>
    <t>CL100323</t>
  </si>
  <si>
    <t>CL100324</t>
  </si>
  <si>
    <t>CL100325</t>
  </si>
  <si>
    <t>CL100326</t>
  </si>
  <si>
    <t>CL100327</t>
  </si>
  <si>
    <t>CL100328</t>
  </si>
  <si>
    <t>CL100329</t>
  </si>
  <si>
    <t>CL100330</t>
  </si>
  <si>
    <t>CL100331</t>
  </si>
  <si>
    <t>CL100332</t>
  </si>
  <si>
    <t>CL100333</t>
  </si>
  <si>
    <t>CL100334</t>
  </si>
  <si>
    <t>CL100335</t>
  </si>
  <si>
    <t>CL100336</t>
  </si>
  <si>
    <t>CL100337</t>
  </si>
  <si>
    <t>CL100338</t>
  </si>
  <si>
    <t>CL100339</t>
  </si>
  <si>
    <t>CL100340</t>
  </si>
  <si>
    <t>CL100341</t>
  </si>
  <si>
    <t>CL100342</t>
  </si>
  <si>
    <t>CL100343</t>
  </si>
  <si>
    <t>CL100344</t>
  </si>
  <si>
    <t>CL100345</t>
  </si>
  <si>
    <t>CL100346</t>
  </si>
  <si>
    <t>CL100347</t>
  </si>
  <si>
    <t>CL100348</t>
  </si>
  <si>
    <t>CL100349</t>
  </si>
  <si>
    <t>CL100350</t>
  </si>
  <si>
    <t>CL100351</t>
  </si>
  <si>
    <t>CL100352</t>
  </si>
  <si>
    <t>CL100353</t>
  </si>
  <si>
    <t>CL100354</t>
  </si>
  <si>
    <t>CL100355</t>
  </si>
  <si>
    <t>CL100356</t>
  </si>
  <si>
    <t>CL100357</t>
  </si>
  <si>
    <t>CL100358</t>
  </si>
  <si>
    <t>CL100359</t>
  </si>
  <si>
    <t>CL100360</t>
  </si>
  <si>
    <t>CL100361</t>
  </si>
  <si>
    <t>CL100362</t>
  </si>
  <si>
    <t>CL100363</t>
  </si>
  <si>
    <t>CL100364</t>
  </si>
  <si>
    <t>CL100365</t>
  </si>
  <si>
    <t>CL100366</t>
  </si>
  <si>
    <t>CL100367</t>
  </si>
  <si>
    <t>CL100368</t>
  </si>
  <si>
    <t>CL100369</t>
  </si>
  <si>
    <t>CL100370</t>
  </si>
  <si>
    <t>CL100371</t>
  </si>
  <si>
    <t>CL100372</t>
  </si>
  <si>
    <t>CL100373</t>
  </si>
  <si>
    <t>CL100374</t>
  </si>
  <si>
    <t>CL100375</t>
  </si>
  <si>
    <t>CL100376</t>
  </si>
  <si>
    <t>CL100377</t>
  </si>
  <si>
    <t>CL100378</t>
  </si>
  <si>
    <t>CL100379</t>
  </si>
  <si>
    <t>CL100380</t>
  </si>
  <si>
    <t>CL100381</t>
  </si>
  <si>
    <t>CL100382</t>
  </si>
  <si>
    <t>CL100383</t>
  </si>
  <si>
    <t>CL100384</t>
  </si>
  <si>
    <t>CL100385</t>
  </si>
  <si>
    <t>CL100386</t>
  </si>
  <si>
    <t>CL100387</t>
  </si>
  <si>
    <t>CL100388</t>
  </si>
  <si>
    <t>CL100389</t>
  </si>
  <si>
    <t>CL100390</t>
  </si>
  <si>
    <t>CL100391</t>
  </si>
  <si>
    <t>CL100392</t>
  </si>
  <si>
    <t>CL100393</t>
  </si>
  <si>
    <t>CL100394</t>
  </si>
  <si>
    <t>CL100395</t>
  </si>
  <si>
    <t>CL100396</t>
  </si>
  <si>
    <t>CL100397</t>
  </si>
  <si>
    <t>CL100398</t>
  </si>
  <si>
    <t>CL100399</t>
  </si>
  <si>
    <t>CL100400</t>
  </si>
  <si>
    <t>CL100401</t>
  </si>
  <si>
    <t>CL100402</t>
  </si>
  <si>
    <t>CL100403</t>
  </si>
  <si>
    <t>CL100404</t>
  </si>
  <si>
    <t>CL100405</t>
  </si>
  <si>
    <t>CL100406</t>
  </si>
  <si>
    <t>CL100407</t>
  </si>
  <si>
    <t>CL100408</t>
  </si>
  <si>
    <t>CL100409</t>
  </si>
  <si>
    <t>CL100410</t>
  </si>
  <si>
    <t>CL100411</t>
  </si>
  <si>
    <t>CL100412</t>
  </si>
  <si>
    <t>CL100413</t>
  </si>
  <si>
    <t>CL100414</t>
  </si>
  <si>
    <t>CL100415</t>
  </si>
  <si>
    <t>CL100416</t>
  </si>
  <si>
    <t>CL100417</t>
  </si>
  <si>
    <t>CL100418</t>
  </si>
  <si>
    <t>CL100419</t>
  </si>
  <si>
    <t>CL100420</t>
  </si>
  <si>
    <t>CL100421</t>
  </si>
  <si>
    <t>CL100422</t>
  </si>
  <si>
    <t>CL100423</t>
  </si>
  <si>
    <t>CL100424</t>
  </si>
  <si>
    <t>CL100425</t>
  </si>
  <si>
    <t>CL100426</t>
  </si>
  <si>
    <t>CL100427</t>
  </si>
  <si>
    <t>CL100428</t>
  </si>
  <si>
    <t>CL100429</t>
  </si>
  <si>
    <t>CL100430</t>
  </si>
  <si>
    <t>CL100431</t>
  </si>
  <si>
    <t>CL100432</t>
  </si>
  <si>
    <t>CL100433</t>
  </si>
  <si>
    <t>CL100434</t>
  </si>
  <si>
    <t>CL100435</t>
  </si>
  <si>
    <t>CL100436</t>
  </si>
  <si>
    <t>CL100437</t>
  </si>
  <si>
    <t>CL100438</t>
  </si>
  <si>
    <t>CL100439</t>
  </si>
  <si>
    <t>CL100440</t>
  </si>
  <si>
    <t>CL100441</t>
  </si>
  <si>
    <t>CL100442</t>
  </si>
  <si>
    <t>CL100443</t>
  </si>
  <si>
    <t>CL100444</t>
  </si>
  <si>
    <t>CL100445</t>
  </si>
  <si>
    <t>CL100446</t>
  </si>
  <si>
    <t>CL100447</t>
  </si>
  <si>
    <t>CL100448</t>
  </si>
  <si>
    <t>CL100449</t>
  </si>
  <si>
    <t>CL100450</t>
  </si>
  <si>
    <t>CL100451</t>
  </si>
  <si>
    <t>CL100452</t>
  </si>
  <si>
    <t>CL100453</t>
  </si>
  <si>
    <t>CL100454</t>
  </si>
  <si>
    <t>CL100455</t>
  </si>
  <si>
    <t>CL100456</t>
  </si>
  <si>
    <t>CL100457</t>
  </si>
  <si>
    <t>CL100458</t>
  </si>
  <si>
    <t>CL100459</t>
  </si>
  <si>
    <t>CL100460</t>
  </si>
  <si>
    <t>CL100461</t>
  </si>
  <si>
    <t>CL100462</t>
  </si>
  <si>
    <t>CL100463</t>
  </si>
  <si>
    <t>CL100464</t>
  </si>
  <si>
    <t>CL100465</t>
  </si>
  <si>
    <t>CL100466</t>
  </si>
  <si>
    <t>CL100467</t>
  </si>
  <si>
    <t>CL100468</t>
  </si>
  <si>
    <t>CL100469</t>
  </si>
  <si>
    <t>CL100470</t>
  </si>
  <si>
    <t>CL100471</t>
  </si>
  <si>
    <t>CL100472</t>
  </si>
  <si>
    <t>CL100473</t>
  </si>
  <si>
    <t>CL100474</t>
  </si>
  <si>
    <t>CL100475</t>
  </si>
  <si>
    <t>CL100476</t>
  </si>
  <si>
    <t>CL100477</t>
  </si>
  <si>
    <t>CL100478</t>
  </si>
  <si>
    <t>CL100479</t>
  </si>
  <si>
    <t>CL100480</t>
  </si>
  <si>
    <t>CL100481</t>
  </si>
  <si>
    <t>CL100482</t>
  </si>
  <si>
    <t>CL100483</t>
  </si>
  <si>
    <t>CL100484</t>
  </si>
  <si>
    <t>CL100485</t>
  </si>
  <si>
    <t>CL100486</t>
  </si>
  <si>
    <t>CL100487</t>
  </si>
  <si>
    <t>CL100488</t>
  </si>
  <si>
    <t>CL100489</t>
  </si>
  <si>
    <t>CL100490</t>
  </si>
  <si>
    <t>CL100491</t>
  </si>
  <si>
    <t>CL100492</t>
  </si>
  <si>
    <t>CL100493</t>
  </si>
  <si>
    <t>CL100494</t>
  </si>
  <si>
    <t>CL100495</t>
  </si>
  <si>
    <t>CL100496</t>
  </si>
  <si>
    <t>CL100497</t>
  </si>
  <si>
    <t>CL100498</t>
  </si>
  <si>
    <t>CL100499</t>
  </si>
  <si>
    <t>CL100500</t>
  </si>
  <si>
    <t>CL100501</t>
  </si>
  <si>
    <t>CL100502</t>
  </si>
  <si>
    <t>CL100503</t>
  </si>
  <si>
    <t>CL100504</t>
  </si>
  <si>
    <t>CL100505</t>
  </si>
  <si>
    <t>CL100506</t>
  </si>
  <si>
    <t>CL100507</t>
  </si>
  <si>
    <t>CL100508</t>
  </si>
  <si>
    <t>CL100509</t>
  </si>
  <si>
    <t>CL100510</t>
  </si>
  <si>
    <t>CL100511</t>
  </si>
  <si>
    <t>CL100512</t>
  </si>
  <si>
    <t>CL100513</t>
  </si>
  <si>
    <t>CL100514</t>
  </si>
  <si>
    <t>CL100515</t>
  </si>
  <si>
    <t>CL100516</t>
  </si>
  <si>
    <t>CL100517</t>
  </si>
  <si>
    <t>CL100518</t>
  </si>
  <si>
    <t>CL100519</t>
  </si>
  <si>
    <t>CL100520</t>
  </si>
  <si>
    <t>CL100521</t>
  </si>
  <si>
    <t>CL100522</t>
  </si>
  <si>
    <t>CL100523</t>
  </si>
  <si>
    <t>CL100524</t>
  </si>
  <si>
    <t>CL100525</t>
  </si>
  <si>
    <t>CL100526</t>
  </si>
  <si>
    <t>CL100527</t>
  </si>
  <si>
    <t>CL100528</t>
  </si>
  <si>
    <t>CL100529</t>
  </si>
  <si>
    <t>CL100530</t>
  </si>
  <si>
    <t>CL100531</t>
  </si>
  <si>
    <t>CL100532</t>
  </si>
  <si>
    <t>CL100533</t>
  </si>
  <si>
    <t>CL100534</t>
  </si>
  <si>
    <t>CL100535</t>
  </si>
  <si>
    <t>CL100536</t>
  </si>
  <si>
    <t>CL100537</t>
  </si>
  <si>
    <t>CL100538</t>
  </si>
  <si>
    <t>CL100539</t>
  </si>
  <si>
    <t>CL100540</t>
  </si>
  <si>
    <t>CL100541</t>
  </si>
  <si>
    <t>CL100542</t>
  </si>
  <si>
    <t>CL100543</t>
  </si>
  <si>
    <t>CL100544</t>
  </si>
  <si>
    <t>CL100545</t>
  </si>
  <si>
    <t>CL100546</t>
  </si>
  <si>
    <t>CL100547</t>
  </si>
  <si>
    <t>CL100548</t>
  </si>
  <si>
    <t>CL100549</t>
  </si>
  <si>
    <t>CL100550</t>
  </si>
  <si>
    <t>CL100551</t>
  </si>
  <si>
    <t>CL100552</t>
  </si>
  <si>
    <t>CL100553</t>
  </si>
  <si>
    <t>CL100554</t>
  </si>
  <si>
    <t>CL100555</t>
  </si>
  <si>
    <t>CL100556</t>
  </si>
  <si>
    <t>CL100557</t>
  </si>
  <si>
    <t>CL100558</t>
  </si>
  <si>
    <t>CL100559</t>
  </si>
  <si>
    <t>CL100560</t>
  </si>
  <si>
    <t>CL100561</t>
  </si>
  <si>
    <t>CL100562</t>
  </si>
  <si>
    <t>CL100563</t>
  </si>
  <si>
    <t>CL100564</t>
  </si>
  <si>
    <t>CL100565</t>
  </si>
  <si>
    <t>CL100566</t>
  </si>
  <si>
    <t>CL100567</t>
  </si>
  <si>
    <t>CL100568</t>
  </si>
  <si>
    <t>CL100569</t>
  </si>
  <si>
    <t>CL100570</t>
  </si>
  <si>
    <t>CL100571</t>
  </si>
  <si>
    <t>CL100572</t>
  </si>
  <si>
    <t>CL100573</t>
  </si>
  <si>
    <t>CL100574</t>
  </si>
  <si>
    <t>CL100575</t>
  </si>
  <si>
    <t>CL100576</t>
  </si>
  <si>
    <t>CL100577</t>
  </si>
  <si>
    <t>CL100578</t>
  </si>
  <si>
    <t>CL100579</t>
  </si>
  <si>
    <t>CL100580</t>
  </si>
  <si>
    <t>CL100581</t>
  </si>
  <si>
    <t>CL100582</t>
  </si>
  <si>
    <t>CL100583</t>
  </si>
  <si>
    <t>CL100584</t>
  </si>
  <si>
    <t>CL100585</t>
  </si>
  <si>
    <t>CL100586</t>
  </si>
  <si>
    <t>CL100587</t>
  </si>
  <si>
    <t>CL100588</t>
  </si>
  <si>
    <t>CL100589</t>
  </si>
  <si>
    <t>CL100590</t>
  </si>
  <si>
    <t>CL100591</t>
  </si>
  <si>
    <t>CL100592</t>
  </si>
  <si>
    <t>CL100593</t>
  </si>
  <si>
    <t>CL100594</t>
  </si>
  <si>
    <t>CL100595</t>
  </si>
  <si>
    <t>CL100596</t>
  </si>
  <si>
    <t>CL100597</t>
  </si>
  <si>
    <t>CL100598</t>
  </si>
  <si>
    <t>CL100599</t>
  </si>
  <si>
    <t>CL100600</t>
  </si>
  <si>
    <t>CL100601</t>
  </si>
  <si>
    <t>CL100602</t>
  </si>
  <si>
    <t>CL100603</t>
  </si>
  <si>
    <t>CL100604</t>
  </si>
  <si>
    <t>CL100605</t>
  </si>
  <si>
    <t>CL100606</t>
  </si>
  <si>
    <t>CL100607</t>
  </si>
  <si>
    <t>CL100608</t>
  </si>
  <si>
    <t>CL100609</t>
  </si>
  <si>
    <t>CL100610</t>
  </si>
  <si>
    <t>CL100611</t>
  </si>
  <si>
    <t>CL100612</t>
  </si>
  <si>
    <t>CL100613</t>
  </si>
  <si>
    <t>CL100614</t>
  </si>
  <si>
    <t>CL100615</t>
  </si>
  <si>
    <t>CL100616</t>
  </si>
  <si>
    <t>CL100617</t>
  </si>
  <si>
    <t>CL100618</t>
  </si>
  <si>
    <t>CL100619</t>
  </si>
  <si>
    <t>CL100620</t>
  </si>
  <si>
    <t>CL100621</t>
  </si>
  <si>
    <t>CL100622</t>
  </si>
  <si>
    <t>CL100623</t>
  </si>
  <si>
    <t>CL100624</t>
  </si>
  <si>
    <t>CL100625</t>
  </si>
  <si>
    <t>CL100626</t>
  </si>
  <si>
    <t>CL100627</t>
  </si>
  <si>
    <t>CL100628</t>
  </si>
  <si>
    <t>CL100629</t>
  </si>
  <si>
    <t>CL100630</t>
  </si>
  <si>
    <t>CL100631</t>
  </si>
  <si>
    <t>CL100632</t>
  </si>
  <si>
    <t>CL100633</t>
  </si>
  <si>
    <t>CL100634</t>
  </si>
  <si>
    <t>CL100635</t>
  </si>
  <si>
    <t>CL100636</t>
  </si>
  <si>
    <t>CL100637</t>
  </si>
  <si>
    <t>CL100638</t>
  </si>
  <si>
    <t>CL100639</t>
  </si>
  <si>
    <t>CL100640</t>
  </si>
  <si>
    <t>CL100641</t>
  </si>
  <si>
    <t>CL100642</t>
  </si>
  <si>
    <t>CL100643</t>
  </si>
  <si>
    <t>CL100644</t>
  </si>
  <si>
    <t>CL100645</t>
  </si>
  <si>
    <t>CL100646</t>
  </si>
  <si>
    <t>CL100647</t>
  </si>
  <si>
    <t>CL100648</t>
  </si>
  <si>
    <t>CL100649</t>
  </si>
  <si>
    <t>CL100650</t>
  </si>
  <si>
    <t>CL100651</t>
  </si>
  <si>
    <t>CL100652</t>
  </si>
  <si>
    <t>CL100653</t>
  </si>
  <si>
    <t>CL100654</t>
  </si>
  <si>
    <t>CL100655</t>
  </si>
  <si>
    <t>CL100656</t>
  </si>
  <si>
    <t>CL100657</t>
  </si>
  <si>
    <t>CL100658</t>
  </si>
  <si>
    <t>CL100659</t>
  </si>
  <si>
    <t>CL100660</t>
  </si>
  <si>
    <t>CL100661</t>
  </si>
  <si>
    <t>CL100662</t>
  </si>
  <si>
    <t>CL100663</t>
  </si>
  <si>
    <t>CL100664</t>
  </si>
  <si>
    <t>CL100665</t>
  </si>
  <si>
    <t>CL100666</t>
  </si>
  <si>
    <t>CL100667</t>
  </si>
  <si>
    <t>CL100668</t>
  </si>
  <si>
    <t>CL100669</t>
  </si>
  <si>
    <t>CL100670</t>
  </si>
  <si>
    <t>CL100671</t>
  </si>
  <si>
    <t>CL100672</t>
  </si>
  <si>
    <t>CL100673</t>
  </si>
  <si>
    <t>CL100674</t>
  </si>
  <si>
    <t>CL100675</t>
  </si>
  <si>
    <t>CL100676</t>
  </si>
  <si>
    <t>CL100677</t>
  </si>
  <si>
    <t>CL100678</t>
  </si>
  <si>
    <t>CL100679</t>
  </si>
  <si>
    <t>CL100680</t>
  </si>
  <si>
    <t>CL100681</t>
  </si>
  <si>
    <t>CL100682</t>
  </si>
  <si>
    <t>CL100683</t>
  </si>
  <si>
    <t>CL100684</t>
  </si>
  <si>
    <t>CL100685</t>
  </si>
  <si>
    <t>CL100686</t>
  </si>
  <si>
    <t>CL100687</t>
  </si>
  <si>
    <t>CL100688</t>
  </si>
  <si>
    <t>CL100689</t>
  </si>
  <si>
    <t>CL100690</t>
  </si>
  <si>
    <t>CL100691</t>
  </si>
  <si>
    <t>CL100692</t>
  </si>
  <si>
    <t>CL100693</t>
  </si>
  <si>
    <t>CL100694</t>
  </si>
  <si>
    <t>CL100695</t>
  </si>
  <si>
    <t>CL100696</t>
  </si>
  <si>
    <t>CL100697</t>
  </si>
  <si>
    <t>CL100698</t>
  </si>
  <si>
    <t>CL100699</t>
  </si>
  <si>
    <t>CL100700</t>
  </si>
  <si>
    <t>CL100701</t>
  </si>
  <si>
    <t>CL100702</t>
  </si>
  <si>
    <t>CL100703</t>
  </si>
  <si>
    <t>CL100704</t>
  </si>
  <si>
    <t>CL100705</t>
  </si>
  <si>
    <t>CL100706</t>
  </si>
  <si>
    <t>CL100707</t>
  </si>
  <si>
    <t>CL100708</t>
  </si>
  <si>
    <t>CL100709</t>
  </si>
  <si>
    <t>CL100710</t>
  </si>
  <si>
    <t>CL100711</t>
  </si>
  <si>
    <t>CL100712</t>
  </si>
  <si>
    <t>CL100713</t>
  </si>
  <si>
    <t>CL100714</t>
  </si>
  <si>
    <t>CL100715</t>
  </si>
  <si>
    <t>CL100716</t>
  </si>
  <si>
    <t>CL100717</t>
  </si>
  <si>
    <t>CL100718</t>
  </si>
  <si>
    <t>CL100719</t>
  </si>
  <si>
    <t>CL100720</t>
  </si>
  <si>
    <t>CL100721</t>
  </si>
  <si>
    <t>CL100722</t>
  </si>
  <si>
    <t>CL100723</t>
  </si>
  <si>
    <t>CL100724</t>
  </si>
  <si>
    <t>CL100725</t>
  </si>
  <si>
    <t>CL100726</t>
  </si>
  <si>
    <t>CL100727</t>
  </si>
  <si>
    <t>CL100728</t>
  </si>
  <si>
    <t>CL100729</t>
  </si>
  <si>
    <t>CL100730</t>
  </si>
  <si>
    <t>CL100731</t>
  </si>
  <si>
    <t>CL100732</t>
  </si>
  <si>
    <t>CL100733</t>
  </si>
  <si>
    <t>CL100734</t>
  </si>
  <si>
    <t>CL100735</t>
  </si>
  <si>
    <t>CL100736</t>
  </si>
  <si>
    <t>CL100737</t>
  </si>
  <si>
    <t>CL100738</t>
  </si>
  <si>
    <t>CL100739</t>
  </si>
  <si>
    <t>CL100740</t>
  </si>
  <si>
    <t>CL100741</t>
  </si>
  <si>
    <t>CL100742</t>
  </si>
  <si>
    <t>CL100743</t>
  </si>
  <si>
    <t>CL100744</t>
  </si>
  <si>
    <t>CL100745</t>
  </si>
  <si>
    <t>CL100746</t>
  </si>
  <si>
    <t>CL100747</t>
  </si>
  <si>
    <t>CL100748</t>
  </si>
  <si>
    <t>CL100749</t>
  </si>
  <si>
    <t>CL100750</t>
  </si>
  <si>
    <t>CL100751</t>
  </si>
  <si>
    <t>CL100752</t>
  </si>
  <si>
    <t>CL100753</t>
  </si>
  <si>
    <t>CL100754</t>
  </si>
  <si>
    <t>CL100755</t>
  </si>
  <si>
    <t>CL100756</t>
  </si>
  <si>
    <t>CL100757</t>
  </si>
  <si>
    <t>CL100758</t>
  </si>
  <si>
    <t>CL100759</t>
  </si>
  <si>
    <t>CL100760</t>
  </si>
  <si>
    <t>CL100761</t>
  </si>
  <si>
    <t>CL100762</t>
  </si>
  <si>
    <t>CL100763</t>
  </si>
  <si>
    <t>CL100764</t>
  </si>
  <si>
    <t>CL100765</t>
  </si>
  <si>
    <t>CL100766</t>
  </si>
  <si>
    <t>CL100767</t>
  </si>
  <si>
    <t>CL100768</t>
  </si>
  <si>
    <t>CL100769</t>
  </si>
  <si>
    <t>CL100770</t>
  </si>
  <si>
    <t>CL100771</t>
  </si>
  <si>
    <t>CL100772</t>
  </si>
  <si>
    <t>CL100773</t>
  </si>
  <si>
    <t>CL100774</t>
  </si>
  <si>
    <t>CL100775</t>
  </si>
  <si>
    <t>CL100776</t>
  </si>
  <si>
    <t>CL100777</t>
  </si>
  <si>
    <t>CL100778</t>
  </si>
  <si>
    <t>CL100779</t>
  </si>
  <si>
    <t>CL100780</t>
  </si>
  <si>
    <t>CL100781</t>
  </si>
  <si>
    <t>CL100782</t>
  </si>
  <si>
    <t>CL100783</t>
  </si>
  <si>
    <t>CL100784</t>
  </si>
  <si>
    <t>CL100785</t>
  </si>
  <si>
    <t>CL100786</t>
  </si>
  <si>
    <t>CL100787</t>
  </si>
  <si>
    <t>CL100788</t>
  </si>
  <si>
    <t>CL100789</t>
  </si>
  <si>
    <t>CL100790</t>
  </si>
  <si>
    <t>CL100791</t>
  </si>
  <si>
    <t>CL100792</t>
  </si>
  <si>
    <t>CL100793</t>
  </si>
  <si>
    <t>CL100794</t>
  </si>
  <si>
    <t>CL100795</t>
  </si>
  <si>
    <t>CL100796</t>
  </si>
  <si>
    <t>CL100797</t>
  </si>
  <si>
    <t>CL100798</t>
  </si>
  <si>
    <t>CL100799</t>
  </si>
  <si>
    <t>Column Name</t>
  </si>
  <si>
    <t>Description</t>
  </si>
  <si>
    <t>Data Type</t>
  </si>
  <si>
    <t>Notes</t>
  </si>
  <si>
    <t>Unique loan identifier</t>
  </si>
  <si>
    <t>Text</t>
  </si>
  <si>
    <t>Primary Key</t>
  </si>
  <si>
    <t>Canadian province</t>
  </si>
  <si>
    <t>Geography</t>
  </si>
  <si>
    <t>Loan amount in CAD</t>
  </si>
  <si>
    <t>Number</t>
  </si>
  <si>
    <t>Portfolio exposure</t>
  </si>
  <si>
    <t>Annual interest rate</t>
  </si>
  <si>
    <t>Percentage</t>
  </si>
  <si>
    <t>Pricing</t>
  </si>
  <si>
    <t>Borrower credit score</t>
  </si>
  <si>
    <t>Risk indicator</t>
  </si>
  <si>
    <t>Current / Delinquent etc.</t>
  </si>
  <si>
    <t>Performance</t>
  </si>
  <si>
    <t>Loan issue date</t>
  </si>
  <si>
    <t>Date</t>
  </si>
  <si>
    <t>Time analysis</t>
  </si>
  <si>
    <t>Checking for Missing Values</t>
  </si>
  <si>
    <t>Loan Amount</t>
  </si>
  <si>
    <t>Credit Score</t>
  </si>
  <si>
    <t>Interest Rate</t>
  </si>
  <si>
    <t>Loan Status</t>
  </si>
  <si>
    <t>Results</t>
  </si>
  <si>
    <t xml:space="preserve">Loan Id Duplicate check </t>
  </si>
  <si>
    <t>Count of Loan_ID</t>
  </si>
  <si>
    <t>Sum of Loan_Amount_CAD</t>
  </si>
  <si>
    <t>Row Labels</t>
  </si>
  <si>
    <t>Grand Total</t>
  </si>
  <si>
    <t>Avg DTI</t>
  </si>
  <si>
    <t>Avg Credit_Score</t>
  </si>
  <si>
    <t>Total loan</t>
  </si>
  <si>
    <t>Avg Interest Rate</t>
  </si>
  <si>
    <t>Total Loan Amount</t>
  </si>
  <si>
    <t>KPI</t>
  </si>
  <si>
    <t>Total Loans</t>
  </si>
  <si>
    <t>Avg Credit Score</t>
  </si>
  <si>
    <t>Formula</t>
  </si>
  <si>
    <t>Portfolio Summary</t>
  </si>
  <si>
    <t>KPI Calculation</t>
  </si>
  <si>
    <t>Count</t>
  </si>
  <si>
    <t>Amount</t>
  </si>
  <si>
    <t>Delinquency rate</t>
  </si>
  <si>
    <t>Amount at risk</t>
  </si>
  <si>
    <t>Loan Status Summary</t>
  </si>
  <si>
    <t>Loan Amount by Purpose</t>
  </si>
  <si>
    <t>Loans by Province</t>
  </si>
  <si>
    <t>Credit_score_bucket</t>
  </si>
  <si>
    <t>580-649</t>
  </si>
  <si>
    <t>650-699</t>
  </si>
  <si>
    <t>700-749</t>
  </si>
  <si>
    <t>750+</t>
  </si>
  <si>
    <t xml:space="preserve">Interest Rate by Credit bucket </t>
  </si>
  <si>
    <t>2023</t>
  </si>
  <si>
    <t>Monthly Loan Trend</t>
  </si>
  <si>
    <t>(All)</t>
  </si>
  <si>
    <t>Jan</t>
  </si>
  <si>
    <t>Feb</t>
  </si>
  <si>
    <t>Mar</t>
  </si>
  <si>
    <t>Apr</t>
  </si>
  <si>
    <t>May</t>
  </si>
  <si>
    <t>Jun</t>
  </si>
  <si>
    <t>Jul</t>
  </si>
  <si>
    <t>Aug</t>
  </si>
  <si>
    <t>Sep</t>
  </si>
  <si>
    <t>Oct</t>
  </si>
  <si>
    <t>Nov</t>
  </si>
  <si>
    <t>Dec</t>
  </si>
  <si>
    <t>Average of Interest_Rate_%</t>
  </si>
  <si>
    <t>2021</t>
  </si>
  <si>
    <t>2022</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</si>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</sst>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0.0,,&quot;M&quot;"/>
    <numFmt numFmtId="165" formatCode="0.00\ &quot;%&quot;"/>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3"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5">
    <xf numFmtId="0" fontId="0" fillId="0" borderId="0" xfId="0"/>
    <xf numFmtId="0" fontId="16" fillId="0" borderId="0" xfId="0" applyFont="1"/>
    <xf numFmtId="0" fontId="16" fillId="33" borderId="0" xfId="0" applyFont="1" applyFill="1"/>
    <xf numFmtId="0" fontId="0" fillId="0" borderId="0" xfId="0" pivotButton="1"/>
    <xf numFmtId="0" fontId="0" fillId="0" borderId="0" xfId="0" applyAlignment="1">
      <alignment horizontal="left"/>
    </xf>
    <xf numFmtId="0" fontId="16" fillId="34" borderId="0" xfId="0" applyFont="1" applyFill="1"/>
    <xf numFmtId="10" fontId="0" fillId="0" borderId="0" xfId="42" applyNumberFormat="1" applyFont="1"/>
    <xf numFmtId="14" fontId="0" fillId="0" borderId="0" xfId="0" applyNumberFormat="1"/>
    <xf numFmtId="0" fontId="0" fillId="35" borderId="0" xfId="0" applyFill="1"/>
    <xf numFmtId="0" fontId="18" fillId="0" borderId="0" xfId="43" applyNumberFormat="1" applyFont="1"/>
    <xf numFmtId="164" fontId="0" fillId="0" borderId="0" xfId="0" applyNumberFormat="1"/>
    <xf numFmtId="9" fontId="0" fillId="0" borderId="0" xfId="0" applyNumberFormat="1"/>
    <xf numFmtId="0" fontId="0" fillId="36" borderId="0" xfId="0" applyFill="1"/>
    <xf numFmtId="165" fontId="0" fillId="0" borderId="0" xfId="0" applyNumberFormat="1"/>
    <xf numFmtId="2" fontId="18" fillId="0" borderId="0" xfId="43" applyNumberFormat="1"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7">
    <dxf>
      <fill>
        <patternFill patternType="solid">
          <bgColor theme="6" tint="0.39997558519241921"/>
        </patternFill>
      </fill>
    </dxf>
    <dxf>
      <fill>
        <patternFill patternType="solid">
          <bgColor theme="6" tint="0.39997558519241921"/>
        </patternFill>
      </fill>
    </dxf>
    <dxf>
      <numFmt numFmtId="165" formatCode="0.00\ &quot;%&quot;"/>
    </dxf>
    <dxf>
      <numFmt numFmtId="13" formatCode="0%"/>
    </dxf>
    <dxf>
      <numFmt numFmtId="164" formatCode="#,##0.0,,&quot;M&quot;"/>
    </dxf>
    <dxf>
      <numFmt numFmtId="0" formatCode="General"/>
    </dxf>
    <dxf>
      <numFmt numFmtId="19" formatCode="m/d/yyyy"/>
    </dxf>
    <dxf>
      <font>
        <b/>
        <color theme="1"/>
      </font>
      <border>
        <bottom style="thin">
          <color theme="7"/>
        </bottom>
        <vertical/>
        <horizontal/>
      </border>
    </dxf>
    <dxf>
      <font>
        <color theme="1"/>
      </font>
      <fill>
        <patternFill patternType="none">
          <bgColor auto="1"/>
        </patternFill>
      </fill>
      <border diagonalUp="0" diagonalDown="0">
        <left/>
        <right/>
        <top/>
        <bottom/>
        <vertical/>
        <horizontal/>
      </border>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
      <font>
        <b/>
        <color theme="1"/>
      </font>
      <border>
        <bottom style="thin">
          <color theme="4"/>
        </bottom>
        <vertical/>
        <horizontal/>
      </border>
    </dxf>
    <dxf>
      <font>
        <color theme="3" tint="0.499984740745262"/>
      </font>
      <border diagonalUp="0" diagonalDown="0">
        <left/>
        <right/>
        <top/>
        <bottom/>
        <vertical/>
        <horizontal/>
      </border>
    </dxf>
    <dxf>
      <font>
        <b/>
        <color theme="1"/>
      </font>
      <border>
        <bottom style="thin">
          <color theme="4"/>
        </bottom>
        <vertical/>
        <horizontal/>
      </border>
    </dxf>
    <dxf>
      <font>
        <color theme="1"/>
      </font>
      <fill>
        <patternFill patternType="none">
          <bgColor auto="1"/>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5" defaultTableStyle="TableStyleMedium2" defaultPivotStyle="PivotStyleLight16">
    <tableStyle name="SlicerStyleLight1 2" pivot="0" table="0" count="10" xr9:uid="{8437D64D-7E2E-4C65-A270-F54C2822A5A9}">
      <tableStyleElement type="wholeTable" dxfId="16"/>
      <tableStyleElement type="headerRow" dxfId="15"/>
    </tableStyle>
    <tableStyle name="SlicerStyleLight1 2 2" pivot="0" table="0" count="10" xr9:uid="{8C53009D-6415-4119-AA8C-8B7EDE787CBD}">
      <tableStyleElement type="wholeTable" dxfId="14"/>
      <tableStyleElement type="headerRow" dxfId="13"/>
    </tableStyle>
    <tableStyle name="SlicerStyleLight1 2 3" pivot="0" table="0" count="10" xr9:uid="{325166C6-97BA-472E-9F95-88D9CAB4ACCA}">
      <tableStyleElement type="wholeTable" dxfId="12"/>
      <tableStyleElement type="headerRow" dxfId="11"/>
    </tableStyle>
    <tableStyle name="SlicerStyleLight1 3" pivot="0" table="0" count="10" xr9:uid="{40590849-5526-4283-83CB-06E136E708A2}">
      <tableStyleElement type="wholeTable" dxfId="10"/>
      <tableStyleElement type="headerRow" dxfId="9"/>
    </tableStyle>
    <tableStyle name="SlicerStyleLight4 2" pivot="0" table="0" count="10" xr9:uid="{253D7B7B-144F-4E35-A5B4-551D54EEABA9}">
      <tableStyleElement type="wholeTable" dxfId="8"/>
      <tableStyleElement type="headerRow" dxfId="7"/>
    </tableStyle>
  </tableStyles>
  <colors>
    <mruColors>
      <color rgb="FF6EBEE1"/>
      <color rgb="FF5AAABE"/>
      <color rgb="FF468CAA"/>
      <color rgb="FF3C7AA5"/>
      <color rgb="FF287396"/>
      <color rgb="FF2D7396"/>
      <color rgb="FF1E698C"/>
      <color rgb="FFD7F0FF"/>
      <color rgb="FFD2E6FA"/>
      <color rgb="FFB4DCF5"/>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[Canadian_Loan_Portfolio_dashboard.xlsx]Pivot_KPIs!PivotTable5</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436019693697823"/>
          <c:y val="5.705402788497986E-2"/>
          <c:w val="0.57840346939220255"/>
          <c:h val="0.83187456658500503"/>
        </c:manualLayout>
      </c:layout>
      <c:barChart>
        <c:barDir val="bar"/>
        <c:grouping val="clustered"/>
        <c:varyColors val="0"/>
        <c:ser>
          <c:idx val="0"/>
          <c:order val="0"/>
          <c:tx>
            <c:strRef>
              <c:f>Pivot_KPIs!$H$3</c:f>
              <c:strCache>
                <c:ptCount val="1"/>
                <c:pt idx="0">
                  <c:v>Total</c:v>
                </c:pt>
              </c:strCache>
            </c:strRef>
          </c:tx>
          <c:spPr>
            <a:solidFill>
              <a:schemeClr val="accent1"/>
            </a:solidFill>
            <a:ln>
              <a:noFill/>
            </a:ln>
            <a:effectLst/>
          </c:spPr>
          <c:invertIfNegative val="0"/>
          <c:cat>
            <c:strRef>
              <c:f>Pivot_KPIs!$G$4:$G$14</c:f>
              <c:strCache>
                <c:ptCount val="10"/>
                <c:pt idx="0">
                  <c:v>Prince Edward Island</c:v>
                </c:pt>
                <c:pt idx="1">
                  <c:v>Newfoundland and Labrador</c:v>
                </c:pt>
                <c:pt idx="2">
                  <c:v>New Brunswick</c:v>
                </c:pt>
                <c:pt idx="3">
                  <c:v>Nova Scotia</c:v>
                </c:pt>
                <c:pt idx="4">
                  <c:v>Manitoba</c:v>
                </c:pt>
                <c:pt idx="5">
                  <c:v>Saskatchewan</c:v>
                </c:pt>
                <c:pt idx="6">
                  <c:v>Alberta</c:v>
                </c:pt>
                <c:pt idx="7">
                  <c:v>British Columbia</c:v>
                </c:pt>
                <c:pt idx="8">
                  <c:v>Quebec</c:v>
                </c:pt>
                <c:pt idx="9">
                  <c:v>Ontario</c:v>
                </c:pt>
              </c:strCache>
            </c:strRef>
          </c:cat>
          <c:val>
            <c:numRef>
              <c:f>Pivot_KPIs!$H$4:$H$14</c:f>
              <c:numCache>
                <c:formatCode>General</c:formatCode>
                <c:ptCount val="10"/>
                <c:pt idx="0">
                  <c:v>5</c:v>
                </c:pt>
                <c:pt idx="1">
                  <c:v>11</c:v>
                </c:pt>
                <c:pt idx="2">
                  <c:v>25</c:v>
                </c:pt>
                <c:pt idx="3">
                  <c:v>27</c:v>
                </c:pt>
                <c:pt idx="4">
                  <c:v>27</c:v>
                </c:pt>
                <c:pt idx="5">
                  <c:v>32</c:v>
                </c:pt>
                <c:pt idx="6">
                  <c:v>90</c:v>
                </c:pt>
                <c:pt idx="7">
                  <c:v>112</c:v>
                </c:pt>
                <c:pt idx="8">
                  <c:v>174</c:v>
                </c:pt>
                <c:pt idx="9">
                  <c:v>297</c:v>
                </c:pt>
              </c:numCache>
            </c:numRef>
          </c:val>
          <c:extLst>
            <c:ext xmlns:c16="http://schemas.microsoft.com/office/drawing/2014/chart" uri="{C3380CC4-5D6E-409C-BE32-E72D297353CC}">
              <c16:uniqueId val="{00000000-E257-41B0-BB2D-A0539D69D435}"/>
            </c:ext>
          </c:extLst>
        </c:ser>
        <c:dLbls>
          <c:showLegendKey val="0"/>
          <c:showVal val="0"/>
          <c:showCatName val="0"/>
          <c:showSerName val="0"/>
          <c:showPercent val="0"/>
          <c:showBubbleSize val="0"/>
        </c:dLbls>
        <c:gapWidth val="182"/>
        <c:axId val="1542933104"/>
        <c:axId val="1542933584"/>
      </c:barChart>
      <c:catAx>
        <c:axId val="15429331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933584"/>
        <c:crosses val="autoZero"/>
        <c:auto val="1"/>
        <c:lblAlgn val="ctr"/>
        <c:lblOffset val="100"/>
        <c:noMultiLvlLbl val="0"/>
      </c:catAx>
      <c:valAx>
        <c:axId val="1542933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933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[Canadian_Loan_Portfolio_dashboard.xlsx]Pivot_KPIs!PivotTable4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Pivot_KPIs!$B$23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2D-4EF2-B4D5-F7A9AE66BD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2D-4EF2-B4D5-F7A9AE66BD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2D-4EF2-B4D5-F7A9AE66BD0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B2D-4EF2-B4D5-F7A9AE66BD0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B2D-4EF2-B4D5-F7A9AE66BD0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B2D-4EF2-B4D5-F7A9AE66BD0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B2D-4EF2-B4D5-F7A9AE66BD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Pivot_KPIs!$A$24:$A$31</c:f>
              <c:strCache>
                <c:ptCount val="7"/>
                <c:pt idx="0">
                  <c:v>Mortgage</c:v>
                </c:pt>
                <c:pt idx="1">
                  <c:v>Auto</c:v>
                </c:pt>
                <c:pt idx="2">
                  <c:v>Personal</c:v>
                </c:pt>
                <c:pt idx="3">
                  <c:v>Debt Consolidation</c:v>
                </c:pt>
                <c:pt idx="4">
                  <c:v>Education</c:v>
                </c:pt>
                <c:pt idx="5">
                  <c:v>Home Improvement</c:v>
                </c:pt>
                <c:pt idx="6">
                  <c:v>Business</c:v>
                </c:pt>
              </c:strCache>
            </c:strRef>
          </c:cat>
          <c:val>
            <c:numRef>
              <c:f>Pivot_KPIs!$B$24:$B$31</c:f>
              <c:numCache>
                <c:formatCode>0%</c:formatCode>
                <c:ptCount val="7"/>
                <c:pt idx="0">
                  <c:v>0.35832296846284617</c:v>
                </c:pt>
                <c:pt idx="1">
                  <c:v>0.18437474031272541</c:v>
                </c:pt>
                <c:pt idx="2">
                  <c:v>0.14897294526029603</c:v>
                </c:pt>
                <c:pt idx="3">
                  <c:v>0.12937350833912392</c:v>
                </c:pt>
                <c:pt idx="4">
                  <c:v>7.6710224662513385E-2</c:v>
                </c:pt>
                <c:pt idx="5">
                  <c:v>5.3464548777792699E-2</c:v>
                </c:pt>
                <c:pt idx="6">
                  <c:v>4.8781064184702377E-2</c:v>
                </c:pt>
              </c:numCache>
            </c:numRef>
          </c:val>
          <c:extLst>
            <c:ext xmlns:c16="http://schemas.microsoft.com/office/drawing/2014/chart" uri="{C3380CC4-5D6E-409C-BE32-E72D297353CC}">
              <c16:uniqueId val="{00000000-1B1F-44A8-AE81-E479785E97E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[Canadian_Loan_Portfolio_dashboard.xlsx]Pivot_KPIs!PivotTable1</c:name>
    <c:fmtId val="1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88888163627639"/>
          <c:y val="5.6370945841522989E-2"/>
          <c:w val="0.77742457554992028"/>
          <c:h val="0.80657946184913654"/>
        </c:manualLayout>
      </c:layout>
      <c:lineChart>
        <c:grouping val="standard"/>
        <c:varyColors val="0"/>
        <c:ser>
          <c:idx val="0"/>
          <c:order val="0"/>
          <c:tx>
            <c:strRef>
              <c:f>Pivot_KPIs!$J$37</c:f>
              <c:strCache>
                <c:ptCount val="1"/>
                <c:pt idx="0">
                  <c:v>Total</c:v>
                </c:pt>
              </c:strCache>
            </c:strRef>
          </c:tx>
          <c:spPr>
            <a:ln w="28575" cap="rnd">
              <a:solidFill>
                <a:schemeClr val="accent1"/>
              </a:solidFill>
              <a:round/>
            </a:ln>
            <a:effectLst/>
          </c:spPr>
          <c:marker>
            <c:symbol val="none"/>
          </c:marker>
          <c:cat>
            <c:strRef>
              <c:f>Pivot_KPIs!$I$38:$I$50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Pivot_KPIs!$J$38:$J$50</c:f>
              <c:numCache>
                <c:formatCode>#,##0.0,,"M"</c:formatCode>
                <c:ptCount val="12"/>
                <c:pt idx="0">
                  <c:v>23666096</c:v>
                </c:pt>
                <c:pt idx="1">
                  <c:v>23223632</c:v>
                </c:pt>
                <c:pt idx="2">
                  <c:v>20467758</c:v>
                </c:pt>
                <c:pt idx="3">
                  <c:v>31487952</c:v>
                </c:pt>
                <c:pt idx="4">
                  <c:v>28342341</c:v>
                </c:pt>
                <c:pt idx="5">
                  <c:v>26666993</c:v>
                </c:pt>
                <c:pt idx="6">
                  <c:v>26423642</c:v>
                </c:pt>
                <c:pt idx="7">
                  <c:v>29777754</c:v>
                </c:pt>
                <c:pt idx="8">
                  <c:v>19506397</c:v>
                </c:pt>
                <c:pt idx="9">
                  <c:v>23227084</c:v>
                </c:pt>
                <c:pt idx="10">
                  <c:v>25591587</c:v>
                </c:pt>
                <c:pt idx="11">
                  <c:v>25915057</c:v>
                </c:pt>
              </c:numCache>
            </c:numRef>
          </c:val>
          <c:smooth val="0"/>
          <c:extLst>
            <c:ext xmlns:c16="http://schemas.microsoft.com/office/drawing/2014/chart" uri="{C3380CC4-5D6E-409C-BE32-E72D297353CC}">
              <c16:uniqueId val="{00000000-93B9-47A9-A409-BF98ABE9BD30}"/>
            </c:ext>
          </c:extLst>
        </c:ser>
        <c:dLbls>
          <c:showLegendKey val="0"/>
          <c:showVal val="0"/>
          <c:showCatName val="0"/>
          <c:showSerName val="0"/>
          <c:showPercent val="0"/>
          <c:showBubbleSize val="0"/>
        </c:dLbls>
        <c:smooth val="0"/>
        <c:axId val="1531391776"/>
        <c:axId val="1531396576"/>
      </c:lineChart>
      <c:catAx>
        <c:axId val="1531391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396576"/>
        <c:crosses val="autoZero"/>
        <c:auto val="1"/>
        <c:lblAlgn val="ctr"/>
        <c:lblOffset val="100"/>
        <c:noMultiLvlLbl val="0"/>
      </c:catAx>
      <c:valAx>
        <c:axId val="1531396576"/>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39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[Canadian_Loan_Portfolio_dashboard.xlsx]Pivot_KPIs!PivotTable8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44228356130436"/>
          <c:y val="6.4814814814814811E-2"/>
          <c:w val="0.86011329833770778"/>
          <c:h val="0.84204505686789155"/>
        </c:manualLayout>
      </c:layout>
      <c:barChart>
        <c:barDir val="col"/>
        <c:grouping val="clustered"/>
        <c:varyColors val="0"/>
        <c:ser>
          <c:idx val="0"/>
          <c:order val="0"/>
          <c:tx>
            <c:strRef>
              <c:f>Pivot_KPIs!$H$17</c:f>
              <c:strCache>
                <c:ptCount val="1"/>
                <c:pt idx="0">
                  <c:v>Total</c:v>
                </c:pt>
              </c:strCache>
            </c:strRef>
          </c:tx>
          <c:spPr>
            <a:solidFill>
              <a:schemeClr val="accent1"/>
            </a:solidFill>
            <a:ln>
              <a:noFill/>
            </a:ln>
            <a:effectLst/>
          </c:spPr>
          <c:invertIfNegative val="0"/>
          <c:cat>
            <c:strRef>
              <c:f>Pivot_KPIs!$G$18:$G$22</c:f>
              <c:strCache>
                <c:ptCount val="4"/>
                <c:pt idx="0">
                  <c:v>580-649</c:v>
                </c:pt>
                <c:pt idx="1">
                  <c:v>700-749</c:v>
                </c:pt>
                <c:pt idx="2">
                  <c:v>650-699</c:v>
                </c:pt>
                <c:pt idx="3">
                  <c:v>750+</c:v>
                </c:pt>
              </c:strCache>
            </c:strRef>
          </c:cat>
          <c:val>
            <c:numRef>
              <c:f>Pivot_KPIs!$H$18:$H$22</c:f>
              <c:numCache>
                <c:formatCode>0.00\ "%"</c:formatCode>
                <c:ptCount val="4"/>
                <c:pt idx="0">
                  <c:v>8.9607042253521101</c:v>
                </c:pt>
                <c:pt idx="1">
                  <c:v>8.9159722222222264</c:v>
                </c:pt>
                <c:pt idx="2">
                  <c:v>8.8204999999999991</c:v>
                </c:pt>
                <c:pt idx="3">
                  <c:v>8.5343109540636046</c:v>
                </c:pt>
              </c:numCache>
            </c:numRef>
          </c:val>
          <c:extLst>
            <c:ext xmlns:c16="http://schemas.microsoft.com/office/drawing/2014/chart" uri="{C3380CC4-5D6E-409C-BE32-E72D297353CC}">
              <c16:uniqueId val="{00000000-42E2-459F-BA95-128CB68D4A40}"/>
            </c:ext>
          </c:extLst>
        </c:ser>
        <c:dLbls>
          <c:showLegendKey val="0"/>
          <c:showVal val="0"/>
          <c:showCatName val="0"/>
          <c:showSerName val="0"/>
          <c:showPercent val="0"/>
          <c:showBubbleSize val="0"/>
        </c:dLbls>
        <c:gapWidth val="219"/>
        <c:overlap val="-27"/>
        <c:axId val="611389759"/>
        <c:axId val="611372479"/>
      </c:barChart>
      <c:catAx>
        <c:axId val="61138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372479"/>
        <c:crosses val="autoZero"/>
        <c:auto val="1"/>
        <c:lblAlgn val="ctr"/>
        <c:lblOffset val="100"/>
        <c:noMultiLvlLbl val="0"/>
      </c:catAx>
      <c:valAx>
        <c:axId val="611372479"/>
        <c:scaling>
          <c:orientation val="minMax"/>
        </c:scaling>
        <c:delete val="0"/>
        <c:axPos val="l"/>
        <c:majorGridlines>
          <c:spPr>
            <a:ln w="9525" cap="flat" cmpd="sng" algn="ctr">
              <a:solidFill>
                <a:schemeClr val="tx1">
                  <a:lumMod val="15000"/>
                  <a:lumOff val="85000"/>
                </a:schemeClr>
              </a:solidFill>
              <a:round/>
            </a:ln>
            <a:effectLst/>
          </c:spPr>
        </c:majorGridlines>
        <c:numFmt formatCode="0.0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389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[Canadian_Loan_Portfolio_dashboard.xlsx]Pivot_KPIs!PivotTable4</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3881BF"/>
          </a:solidFill>
          <a:ln w="19050">
            <a:solidFill>
              <a:schemeClr val="lt1"/>
            </a:solidFill>
          </a:ln>
          <a:effectLst/>
        </c:spPr>
      </c:pivotFmt>
      <c:pivotFmt>
        <c:idx val="11"/>
        <c:spPr>
          <a:solidFill>
            <a:srgbClr val="D7F0FF"/>
          </a:solidFill>
          <a:ln w="19050">
            <a:solidFill>
              <a:schemeClr val="lt1"/>
            </a:solidFill>
          </a:ln>
          <a:effectLst/>
        </c:spPr>
      </c:pivotFmt>
      <c:pivotFmt>
        <c:idx val="12"/>
        <c:spPr>
          <a:solidFill>
            <a:srgbClr val="82C5EB"/>
          </a:solidFill>
          <a:ln w="19050">
            <a:solidFill>
              <a:schemeClr val="lt1"/>
            </a:solidFill>
          </a:ln>
          <a:effectLst/>
        </c:spPr>
      </c:pivotFmt>
      <c:pivotFmt>
        <c:idx val="13"/>
        <c:spPr>
          <a:solidFill>
            <a:srgbClr val="B4DCF5"/>
          </a:solidFill>
          <a:ln w="19050">
            <a:solidFill>
              <a:schemeClr val="lt1"/>
            </a:solidFill>
          </a:ln>
          <a:effectLst/>
        </c:spPr>
      </c:pivotFmt>
      <c:pivotFmt>
        <c:idx val="14"/>
        <c:spPr>
          <a:solidFill>
            <a:srgbClr val="D2E6FA"/>
          </a:solidFill>
          <a:ln w="19050">
            <a:solidFill>
              <a:schemeClr val="lt1"/>
            </a:solidFill>
          </a:ln>
          <a:effectLst/>
        </c:spPr>
      </c:pivotFmt>
      <c:pivotFmt>
        <c:idx val="15"/>
        <c:spPr>
          <a:solidFill>
            <a:srgbClr val="1B578C"/>
          </a:solidFill>
          <a:ln w="19050">
            <a:solidFill>
              <a:schemeClr val="lt1"/>
            </a:solidFill>
          </a:ln>
          <a:effectLst/>
        </c:spPr>
      </c:pivotFmt>
      <c:pivotFmt>
        <c:idx val="16"/>
        <c:spPr>
          <a:solidFill>
            <a:srgbClr val="56A4DC"/>
          </a:solidFill>
          <a:ln w="19050">
            <a:solidFill>
              <a:schemeClr val="lt1"/>
            </a:solidFill>
          </a:ln>
          <a:effectLst/>
        </c:spPr>
      </c:pivotFmt>
    </c:pivotFmts>
    <c:plotArea>
      <c:layout>
        <c:manualLayout>
          <c:layoutTarget val="inner"/>
          <c:xMode val="edge"/>
          <c:yMode val="edge"/>
          <c:x val="0.46781175537961711"/>
          <c:y val="6.2440025132548857E-2"/>
          <c:w val="0.45504591701448116"/>
          <c:h val="0.92564125304244149"/>
        </c:manualLayout>
      </c:layout>
      <c:doughnutChart>
        <c:varyColors val="1"/>
        <c:ser>
          <c:idx val="0"/>
          <c:order val="0"/>
          <c:tx>
            <c:strRef>
              <c:f>Pivot_KPIs!$B$23</c:f>
              <c:strCache>
                <c:ptCount val="1"/>
                <c:pt idx="0">
                  <c:v>Total</c:v>
                </c:pt>
              </c:strCache>
            </c:strRef>
          </c:tx>
          <c:spPr>
            <a:solidFill>
              <a:schemeClr val="accent1"/>
            </a:solidFill>
          </c:spPr>
          <c:dPt>
            <c:idx val="0"/>
            <c:bubble3D val="0"/>
            <c:explosion val="2"/>
            <c:spPr>
              <a:solidFill>
                <a:srgbClr val="1B578C"/>
              </a:solidFill>
              <a:ln w="19050">
                <a:solidFill>
                  <a:schemeClr val="lt1"/>
                </a:solidFill>
              </a:ln>
              <a:effectLst/>
            </c:spPr>
            <c:extLst>
              <c:ext xmlns:c16="http://schemas.microsoft.com/office/drawing/2014/chart" uri="{C3380CC4-5D6E-409C-BE32-E72D297353CC}">
                <c16:uniqueId val="{00000001-8CC1-4868-83B3-B26494080832}"/>
              </c:ext>
            </c:extLst>
          </c:dPt>
          <c:dPt>
            <c:idx val="1"/>
            <c:bubble3D val="0"/>
            <c:spPr>
              <a:solidFill>
                <a:srgbClr val="3881BF"/>
              </a:solidFill>
              <a:ln w="19050">
                <a:solidFill>
                  <a:schemeClr val="lt1"/>
                </a:solidFill>
              </a:ln>
              <a:effectLst/>
            </c:spPr>
            <c:extLst>
              <c:ext xmlns:c16="http://schemas.microsoft.com/office/drawing/2014/chart" uri="{C3380CC4-5D6E-409C-BE32-E72D297353CC}">
                <c16:uniqueId val="{00000003-8CC1-4868-83B3-B26494080832}"/>
              </c:ext>
            </c:extLst>
          </c:dPt>
          <c:dPt>
            <c:idx val="2"/>
            <c:bubble3D val="0"/>
            <c:spPr>
              <a:solidFill>
                <a:srgbClr val="56A4DC"/>
              </a:solidFill>
              <a:ln w="19050">
                <a:solidFill>
                  <a:schemeClr val="lt1"/>
                </a:solidFill>
              </a:ln>
              <a:effectLst/>
            </c:spPr>
            <c:extLst>
              <c:ext xmlns:c16="http://schemas.microsoft.com/office/drawing/2014/chart" uri="{C3380CC4-5D6E-409C-BE32-E72D297353CC}">
                <c16:uniqueId val="{00000005-8CC1-4868-83B3-B26494080832}"/>
              </c:ext>
            </c:extLst>
          </c:dPt>
          <c:dPt>
            <c:idx val="3"/>
            <c:bubble3D val="0"/>
            <c:spPr>
              <a:solidFill>
                <a:srgbClr val="82C5EB"/>
              </a:solidFill>
              <a:ln w="19050">
                <a:solidFill>
                  <a:schemeClr val="lt1"/>
                </a:solidFill>
              </a:ln>
              <a:effectLst/>
            </c:spPr>
            <c:extLst>
              <c:ext xmlns:c16="http://schemas.microsoft.com/office/drawing/2014/chart" uri="{C3380CC4-5D6E-409C-BE32-E72D297353CC}">
                <c16:uniqueId val="{00000007-8CC1-4868-83B3-B26494080832}"/>
              </c:ext>
            </c:extLst>
          </c:dPt>
          <c:dPt>
            <c:idx val="4"/>
            <c:bubble3D val="0"/>
            <c:spPr>
              <a:solidFill>
                <a:srgbClr val="B4DCF5"/>
              </a:solidFill>
              <a:ln w="19050">
                <a:solidFill>
                  <a:schemeClr val="lt1"/>
                </a:solidFill>
              </a:ln>
              <a:effectLst/>
            </c:spPr>
            <c:extLst>
              <c:ext xmlns:c16="http://schemas.microsoft.com/office/drawing/2014/chart" uri="{C3380CC4-5D6E-409C-BE32-E72D297353CC}">
                <c16:uniqueId val="{00000009-8CC1-4868-83B3-B26494080832}"/>
              </c:ext>
            </c:extLst>
          </c:dPt>
          <c:dPt>
            <c:idx val="5"/>
            <c:bubble3D val="0"/>
            <c:spPr>
              <a:solidFill>
                <a:srgbClr val="D2E6FA"/>
              </a:solidFill>
              <a:ln w="19050">
                <a:solidFill>
                  <a:schemeClr val="lt1"/>
                </a:solidFill>
              </a:ln>
              <a:effectLst/>
            </c:spPr>
            <c:extLst>
              <c:ext xmlns:c16="http://schemas.microsoft.com/office/drawing/2014/chart" uri="{C3380CC4-5D6E-409C-BE32-E72D297353CC}">
                <c16:uniqueId val="{0000000B-8CC1-4868-83B3-B26494080832}"/>
              </c:ext>
            </c:extLst>
          </c:dPt>
          <c:dPt>
            <c:idx val="6"/>
            <c:bubble3D val="0"/>
            <c:spPr>
              <a:solidFill>
                <a:srgbClr val="D7F0FF"/>
              </a:solidFill>
              <a:ln w="19050">
                <a:solidFill>
                  <a:schemeClr val="lt1"/>
                </a:solidFill>
              </a:ln>
              <a:effectLst/>
            </c:spPr>
            <c:extLst>
              <c:ext xmlns:c16="http://schemas.microsoft.com/office/drawing/2014/chart" uri="{C3380CC4-5D6E-409C-BE32-E72D297353CC}">
                <c16:uniqueId val="{0000000D-8CC1-4868-83B3-B264940808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Pivot_KPIs!$A$24:$A$31</c:f>
              <c:strCache>
                <c:ptCount val="7"/>
                <c:pt idx="0">
                  <c:v>Mortgage</c:v>
                </c:pt>
                <c:pt idx="1">
                  <c:v>Auto</c:v>
                </c:pt>
                <c:pt idx="2">
                  <c:v>Personal</c:v>
                </c:pt>
                <c:pt idx="3">
                  <c:v>Debt Consolidation</c:v>
                </c:pt>
                <c:pt idx="4">
                  <c:v>Education</c:v>
                </c:pt>
                <c:pt idx="5">
                  <c:v>Home Improvement</c:v>
                </c:pt>
                <c:pt idx="6">
                  <c:v>Business</c:v>
                </c:pt>
              </c:strCache>
            </c:strRef>
          </c:cat>
          <c:val>
            <c:numRef>
              <c:f>Pivot_KPIs!$B$24:$B$31</c:f>
              <c:numCache>
                <c:formatCode>0%</c:formatCode>
                <c:ptCount val="7"/>
                <c:pt idx="0">
                  <c:v>0.35832296846284617</c:v>
                </c:pt>
                <c:pt idx="1">
                  <c:v>0.18437474031272541</c:v>
                </c:pt>
                <c:pt idx="2">
                  <c:v>0.14897294526029603</c:v>
                </c:pt>
                <c:pt idx="3">
                  <c:v>0.12937350833912392</c:v>
                </c:pt>
                <c:pt idx="4">
                  <c:v>7.6710224662513385E-2</c:v>
                </c:pt>
                <c:pt idx="5">
                  <c:v>5.3464548777792699E-2</c:v>
                </c:pt>
                <c:pt idx="6">
                  <c:v>4.8781064184702377E-2</c:v>
                </c:pt>
              </c:numCache>
            </c:numRef>
          </c:val>
          <c:extLst>
            <c:ext xmlns:c16="http://schemas.microsoft.com/office/drawing/2014/chart" uri="{C3380CC4-5D6E-409C-BE32-E72D297353CC}">
              <c16:uniqueId val="{0000000E-8CC1-4868-83B3-B26494080832}"/>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l"/>
      <c:layout>
        <c:manualLayout>
          <c:xMode val="edge"/>
          <c:yMode val="edge"/>
          <c:x val="5.4077584338654908E-2"/>
          <c:y val="0.17702362204724409"/>
          <c:w val="0.31592718341399983"/>
          <c:h val="0.740628937007874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[Canadian_Loan_Portfolio_dashboard.xlsx]Pivot_KPIs!PivotTable1</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cmpd="sng" algn="ctr">
            <a:solidFill>
              <a:schemeClr val="accent1"/>
            </a:solidFill>
            <a:round/>
          </a:ln>
          <a:effectLst/>
        </c:spPr>
        <c:marker>
          <c:symbol val="circle"/>
          <c:size val="6"/>
          <c:spPr>
            <a:solidFill>
              <a:schemeClr val="tx1">
                <a:lumMod val="50000"/>
                <a:lumOff val="50000"/>
              </a:schemeClr>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8618697153189"/>
          <c:y val="0.13324861029961921"/>
          <c:w val="0.8076125817096832"/>
          <c:h val="0.7158617650588307"/>
        </c:manualLayout>
      </c:layout>
      <c:lineChart>
        <c:grouping val="standard"/>
        <c:varyColors val="0"/>
        <c:ser>
          <c:idx val="0"/>
          <c:order val="0"/>
          <c:tx>
            <c:strRef>
              <c:f>Pivot_KPIs!$J$37</c:f>
              <c:strCache>
                <c:ptCount val="1"/>
                <c:pt idx="0">
                  <c:v>Total</c:v>
                </c:pt>
              </c:strCache>
            </c:strRef>
          </c:tx>
          <c:spPr>
            <a:ln w="28575" cap="rnd" cmpd="sng" algn="ctr">
              <a:solidFill>
                <a:schemeClr val="accent1"/>
              </a:solidFill>
              <a:round/>
            </a:ln>
            <a:effectLst/>
          </c:spPr>
          <c:marker>
            <c:symbol val="circle"/>
            <c:size val="6"/>
            <c:spPr>
              <a:solidFill>
                <a:schemeClr val="tx1">
                  <a:lumMod val="50000"/>
                  <a:lumOff val="50000"/>
                </a:schemeClr>
              </a:solidFill>
              <a:ln w="9525" cap="flat" cmpd="sng" algn="ctr">
                <a:solidFill>
                  <a:schemeClr val="accent1"/>
                </a:solidFill>
                <a:round/>
              </a:ln>
              <a:effectLst/>
            </c:spPr>
          </c:marker>
          <c:cat>
            <c:strRef>
              <c:f>Pivot_KPIs!$I$38:$I$50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Pivot_KPIs!$J$38:$J$50</c:f>
              <c:numCache>
                <c:formatCode>#,##0.0,,"M"</c:formatCode>
                <c:ptCount val="12"/>
                <c:pt idx="0">
                  <c:v>23666096</c:v>
                </c:pt>
                <c:pt idx="1">
                  <c:v>23223632</c:v>
                </c:pt>
                <c:pt idx="2">
                  <c:v>20467758</c:v>
                </c:pt>
                <c:pt idx="3">
                  <c:v>31487952</c:v>
                </c:pt>
                <c:pt idx="4">
                  <c:v>28342341</c:v>
                </c:pt>
                <c:pt idx="5">
                  <c:v>26666993</c:v>
                </c:pt>
                <c:pt idx="6">
                  <c:v>26423642</c:v>
                </c:pt>
                <c:pt idx="7">
                  <c:v>29777754</c:v>
                </c:pt>
                <c:pt idx="8">
                  <c:v>19506397</c:v>
                </c:pt>
                <c:pt idx="9">
                  <c:v>23227084</c:v>
                </c:pt>
                <c:pt idx="10">
                  <c:v>25591587</c:v>
                </c:pt>
                <c:pt idx="11">
                  <c:v>25915057</c:v>
                </c:pt>
              </c:numCache>
            </c:numRef>
          </c:val>
          <c:smooth val="0"/>
          <c:extLst>
            <c:ext xmlns:c16="http://schemas.microsoft.com/office/drawing/2014/chart" uri="{C3380CC4-5D6E-409C-BE32-E72D297353CC}">
              <c16:uniqueId val="{00000000-7921-41BE-82EB-522199150B5F}"/>
            </c:ext>
          </c:extLst>
        </c:ser>
        <c:dLbls>
          <c:showLegendKey val="0"/>
          <c:showVal val="0"/>
          <c:showCatName val="0"/>
          <c:showSerName val="0"/>
          <c:showPercent val="0"/>
          <c:showBubbleSize val="0"/>
        </c:dLbls>
        <c:dropLines>
          <c:spPr>
            <a:ln w="12700" cap="flat" cmpd="sng" algn="ctr">
              <a:solidFill>
                <a:schemeClr val="tx1">
                  <a:lumMod val="65000"/>
                  <a:lumOff val="35000"/>
                  <a:alpha val="33000"/>
                </a:schemeClr>
              </a:solidFill>
              <a:round/>
            </a:ln>
            <a:effectLst/>
          </c:spPr>
        </c:dropLines>
        <c:marker val="1"/>
        <c:smooth val="0"/>
        <c:axId val="1531391776"/>
        <c:axId val="1531396576"/>
      </c:lineChart>
      <c:catAx>
        <c:axId val="153139177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tx1">
                    <a:lumMod val="85000"/>
                    <a:lumOff val="15000"/>
                  </a:schemeClr>
                </a:solidFill>
                <a:latin typeface="+mn-lt"/>
                <a:ea typeface="+mn-ea"/>
                <a:cs typeface="+mn-cs"/>
              </a:defRPr>
            </a:pPr>
            <a:endParaRPr lang="en-US"/>
          </a:p>
        </c:txPr>
        <c:crossAx val="1531396576"/>
        <c:crosses val="autoZero"/>
        <c:auto val="1"/>
        <c:lblAlgn val="ctr"/>
        <c:lblOffset val="100"/>
        <c:noMultiLvlLbl val="0"/>
      </c:catAx>
      <c:valAx>
        <c:axId val="1531396576"/>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85000"/>
                    <a:lumOff val="15000"/>
                  </a:schemeClr>
                </a:solidFill>
                <a:latin typeface="+mn-lt"/>
                <a:ea typeface="+mn-ea"/>
                <a:cs typeface="+mn-cs"/>
              </a:defRPr>
            </a:pPr>
            <a:endParaRPr lang="en-US"/>
          </a:p>
        </c:txPr>
        <c:crossAx val="153139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[Canadian_Loan_Portfolio_dashboard.xlsx]Pivot_KPIs!PivotTable5</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6000">
                <a:schemeClr val="accent1">
                  <a:lumMod val="50000"/>
                </a:schemeClr>
              </a:gs>
              <a:gs pos="83000">
                <a:schemeClr val="accent1">
                  <a:lumMod val="45000"/>
                  <a:lumOff val="55000"/>
                </a:schemeClr>
              </a:gs>
              <a:gs pos="100000">
                <a:schemeClr val="accent1">
                  <a:lumMod val="30000"/>
                  <a:lumOff val="70000"/>
                </a:schemeClr>
              </a:gs>
            </a:gsLst>
            <a:lin ang="21594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2975705486262"/>
          <c:y val="4.8152562863990566E-4"/>
          <c:w val="0.57840346939220255"/>
          <c:h val="0.83187456658500503"/>
        </c:manualLayout>
      </c:layout>
      <c:barChart>
        <c:barDir val="bar"/>
        <c:grouping val="clustered"/>
        <c:varyColors val="0"/>
        <c:ser>
          <c:idx val="0"/>
          <c:order val="0"/>
          <c:tx>
            <c:strRef>
              <c:f>Pivot_KPIs!$H$3</c:f>
              <c:strCache>
                <c:ptCount val="1"/>
                <c:pt idx="0">
                  <c:v>Total</c:v>
                </c:pt>
              </c:strCache>
            </c:strRef>
          </c:tx>
          <c:spPr>
            <a:gradFill>
              <a:gsLst>
                <a:gs pos="6000">
                  <a:schemeClr val="accent1">
                    <a:lumMod val="50000"/>
                  </a:schemeClr>
                </a:gs>
                <a:gs pos="83000">
                  <a:schemeClr val="accent1">
                    <a:lumMod val="45000"/>
                    <a:lumOff val="55000"/>
                  </a:schemeClr>
                </a:gs>
                <a:gs pos="100000">
                  <a:schemeClr val="accent1">
                    <a:lumMod val="30000"/>
                    <a:lumOff val="70000"/>
                  </a:schemeClr>
                </a:gs>
              </a:gsLst>
              <a:lin ang="21594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Pivot_KPIs!$G$4:$G$14</c:f>
              <c:strCache>
                <c:ptCount val="10"/>
                <c:pt idx="0">
                  <c:v>Prince Edward Island</c:v>
                </c:pt>
                <c:pt idx="1">
                  <c:v>Newfoundland and Labrador</c:v>
                </c:pt>
                <c:pt idx="2">
                  <c:v>New Brunswick</c:v>
                </c:pt>
                <c:pt idx="3">
                  <c:v>Nova Scotia</c:v>
                </c:pt>
                <c:pt idx="4">
                  <c:v>Manitoba</c:v>
                </c:pt>
                <c:pt idx="5">
                  <c:v>Saskatchewan</c:v>
                </c:pt>
                <c:pt idx="6">
                  <c:v>Alberta</c:v>
                </c:pt>
                <c:pt idx="7">
                  <c:v>British Columbia</c:v>
                </c:pt>
                <c:pt idx="8">
                  <c:v>Quebec</c:v>
                </c:pt>
                <c:pt idx="9">
                  <c:v>Ontario</c:v>
                </c:pt>
              </c:strCache>
            </c:strRef>
          </c:cat>
          <c:val>
            <c:numRef>
              <c:f>Pivot_KPIs!$H$4:$H$14</c:f>
              <c:numCache>
                <c:formatCode>General</c:formatCode>
                <c:ptCount val="10"/>
                <c:pt idx="0">
                  <c:v>5</c:v>
                </c:pt>
                <c:pt idx="1">
                  <c:v>11</c:v>
                </c:pt>
                <c:pt idx="2">
                  <c:v>25</c:v>
                </c:pt>
                <c:pt idx="3">
                  <c:v>27</c:v>
                </c:pt>
                <c:pt idx="4">
                  <c:v>27</c:v>
                </c:pt>
                <c:pt idx="5">
                  <c:v>32</c:v>
                </c:pt>
                <c:pt idx="6">
                  <c:v>90</c:v>
                </c:pt>
                <c:pt idx="7">
                  <c:v>112</c:v>
                </c:pt>
                <c:pt idx="8">
                  <c:v>174</c:v>
                </c:pt>
                <c:pt idx="9">
                  <c:v>297</c:v>
                </c:pt>
              </c:numCache>
            </c:numRef>
          </c:val>
          <c:extLst>
            <c:ext xmlns:c16="http://schemas.microsoft.com/office/drawing/2014/chart" uri="{C3380CC4-5D6E-409C-BE32-E72D297353CC}">
              <c16:uniqueId val="{00000000-ED6B-4868-B37B-1EEFF48FBA1C}"/>
            </c:ext>
          </c:extLst>
        </c:ser>
        <c:dLbls>
          <c:showLegendKey val="0"/>
          <c:showVal val="0"/>
          <c:showCatName val="0"/>
          <c:showSerName val="0"/>
          <c:showPercent val="0"/>
          <c:showBubbleSize val="0"/>
        </c:dLbls>
        <c:gapWidth val="60"/>
        <c:axId val="1542933104"/>
        <c:axId val="1542933584"/>
      </c:barChart>
      <c:catAx>
        <c:axId val="154293310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542933584"/>
        <c:crosses val="autoZero"/>
        <c:auto val="1"/>
        <c:lblAlgn val="ctr"/>
        <c:lblOffset val="100"/>
        <c:noMultiLvlLbl val="0"/>
      </c:catAx>
      <c:valAx>
        <c:axId val="15429335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542933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[Canadian_Loan_Portfolio_dashboard.xlsx]Pivot_KPIs!PivotTable8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68CAA"/>
          </a:solidFill>
          <a:ln>
            <a:noFill/>
          </a:ln>
          <a:effectLst/>
        </c:spPr>
      </c:pivotFmt>
      <c:pivotFmt>
        <c:idx val="4"/>
        <c:spPr>
          <a:solidFill>
            <a:srgbClr val="5AAABE"/>
          </a:solidFill>
          <a:ln>
            <a:noFill/>
          </a:ln>
          <a:effectLst/>
        </c:spPr>
      </c:pivotFmt>
      <c:pivotFmt>
        <c:idx val="5"/>
        <c:spPr>
          <a:solidFill>
            <a:srgbClr val="6EBEE1"/>
          </a:solidFill>
          <a:ln>
            <a:noFill/>
          </a:ln>
          <a:effectLst/>
        </c:spPr>
      </c:pivotFmt>
    </c:pivotFmts>
    <c:plotArea>
      <c:layout>
        <c:manualLayout>
          <c:layoutTarget val="inner"/>
          <c:xMode val="edge"/>
          <c:yMode val="edge"/>
          <c:x val="0.12370046824944698"/>
          <c:y val="7.3303665550582944E-2"/>
          <c:w val="0.84938160598986256"/>
          <c:h val="0.77263690128562146"/>
        </c:manualLayout>
      </c:layout>
      <c:barChart>
        <c:barDir val="col"/>
        <c:grouping val="clustered"/>
        <c:varyColors val="0"/>
        <c:ser>
          <c:idx val="0"/>
          <c:order val="0"/>
          <c:tx>
            <c:strRef>
              <c:f>Pivot_KPIs!$H$17</c:f>
              <c:strCache>
                <c:ptCount val="1"/>
                <c:pt idx="0">
                  <c:v>Total</c:v>
                </c:pt>
              </c:strCache>
            </c:strRef>
          </c:tx>
          <c:spPr>
            <a:solidFill>
              <a:schemeClr val="accent1"/>
            </a:solidFill>
            <a:ln>
              <a:noFill/>
            </a:ln>
            <a:effectLst/>
          </c:spPr>
          <c:invertIfNegative val="0"/>
          <c:dPt>
            <c:idx val="1"/>
            <c:invertIfNegative val="0"/>
            <c:bubble3D val="0"/>
            <c:spPr>
              <a:solidFill>
                <a:srgbClr val="468CAA"/>
              </a:solidFill>
              <a:ln>
                <a:noFill/>
              </a:ln>
              <a:effectLst/>
            </c:spPr>
            <c:extLst>
              <c:ext xmlns:c16="http://schemas.microsoft.com/office/drawing/2014/chart" uri="{C3380CC4-5D6E-409C-BE32-E72D297353CC}">
                <c16:uniqueId val="{00000001-FBBA-4A64-BCFD-6D2CF9514917}"/>
              </c:ext>
            </c:extLst>
          </c:dPt>
          <c:dPt>
            <c:idx val="2"/>
            <c:invertIfNegative val="0"/>
            <c:bubble3D val="0"/>
            <c:spPr>
              <a:solidFill>
                <a:srgbClr val="5AAABE"/>
              </a:solidFill>
              <a:ln>
                <a:noFill/>
              </a:ln>
              <a:effectLst/>
            </c:spPr>
            <c:extLst>
              <c:ext xmlns:c16="http://schemas.microsoft.com/office/drawing/2014/chart" uri="{C3380CC4-5D6E-409C-BE32-E72D297353CC}">
                <c16:uniqueId val="{00000002-FBBA-4A64-BCFD-6D2CF9514917}"/>
              </c:ext>
            </c:extLst>
          </c:dPt>
          <c:dPt>
            <c:idx val="3"/>
            <c:invertIfNegative val="0"/>
            <c:bubble3D val="0"/>
            <c:spPr>
              <a:solidFill>
                <a:srgbClr val="6EBEE1"/>
              </a:solidFill>
              <a:ln>
                <a:noFill/>
              </a:ln>
              <a:effectLst/>
            </c:spPr>
            <c:extLst>
              <c:ext xmlns:c16="http://schemas.microsoft.com/office/drawing/2014/chart" uri="{C3380CC4-5D6E-409C-BE32-E72D297353CC}">
                <c16:uniqueId val="{00000003-FBBA-4A64-BCFD-6D2CF95149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Pivot_KPIs!$G$18:$G$22</c:f>
              <c:strCache>
                <c:ptCount val="4"/>
                <c:pt idx="0">
                  <c:v>580-649</c:v>
                </c:pt>
                <c:pt idx="1">
                  <c:v>700-749</c:v>
                </c:pt>
                <c:pt idx="2">
                  <c:v>650-699</c:v>
                </c:pt>
                <c:pt idx="3">
                  <c:v>750+</c:v>
                </c:pt>
              </c:strCache>
            </c:strRef>
          </c:cat>
          <c:val>
            <c:numRef>
              <c:f>Pivot_KPIs!$H$18:$H$22</c:f>
              <c:numCache>
                <c:formatCode>0.00\ "%"</c:formatCode>
                <c:ptCount val="4"/>
                <c:pt idx="0">
                  <c:v>8.9607042253521101</c:v>
                </c:pt>
                <c:pt idx="1">
                  <c:v>8.9159722222222264</c:v>
                </c:pt>
                <c:pt idx="2">
                  <c:v>8.8204999999999991</c:v>
                </c:pt>
                <c:pt idx="3">
                  <c:v>8.5343109540636046</c:v>
                </c:pt>
              </c:numCache>
            </c:numRef>
          </c:val>
          <c:extLst>
            <c:ext xmlns:c16="http://schemas.microsoft.com/office/drawing/2014/chart" uri="{C3380CC4-5D6E-409C-BE32-E72D297353CC}">
              <c16:uniqueId val="{00000000-FBBA-4A64-BCFD-6D2CF9514917}"/>
            </c:ext>
          </c:extLst>
        </c:ser>
        <c:dLbls>
          <c:dLblPos val="outEnd"/>
          <c:showLegendKey val="0"/>
          <c:showVal val="1"/>
          <c:showCatName val="0"/>
          <c:showSerName val="0"/>
          <c:showPercent val="0"/>
          <c:showBubbleSize val="0"/>
        </c:dLbls>
        <c:gapWidth val="98"/>
        <c:overlap val="-27"/>
        <c:axId val="611389759"/>
        <c:axId val="611372479"/>
      </c:barChart>
      <c:catAx>
        <c:axId val="61138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611372479"/>
        <c:crosses val="autoZero"/>
        <c:auto val="1"/>
        <c:lblAlgn val="ctr"/>
        <c:lblOffset val="100"/>
        <c:noMultiLvlLbl val="0"/>
      </c:catAx>
      <c:valAx>
        <c:axId val="611372479"/>
        <c:scaling>
          <c:orientation val="minMax"/>
        </c:scaling>
        <c:delete val="0"/>
        <c:axPos val="l"/>
        <c:majorGridlines>
          <c:spPr>
            <a:ln w="9525" cap="flat" cmpd="sng" algn="ctr">
              <a:solidFill>
                <a:schemeClr val="tx1">
                  <a:lumMod val="15000"/>
                  <a:lumOff val="85000"/>
                </a:schemeClr>
              </a:solidFill>
              <a:round/>
            </a:ln>
            <a:effectLst/>
          </c:spPr>
        </c:majorGridlines>
        <c:numFmt formatCode="0.0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611389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9</xdr:col>
      <xdr:colOff>57260</xdr:colOff>
      <xdr:row>26</xdr:row>
      <xdr:rowOff>172203</xdr:rowOff>
    </xdr:from>
    <xdr:to>
      <xdr:col>11</xdr:col>
      <xdr:colOff>398220</xdr:colOff>
      <xdr:row>33</xdr:row>
      <xdr:rowOff>139915</xdr:rowOff>
    </xdr:to>
    <mc:AlternateContent xmlns:mc="http://schemas.openxmlformats.org/markup-compatibility/2006" xmlns:a14="http://schemas.microsoft.com/office/drawing/2010/main">
      <mc:Choice Requires="a14">
        <xdr:graphicFrame macro="">
          <xdr:nvGraphicFramePr>
            <xdr:cNvPr id="2" name="Province">
              <a:extLst>
                <a:ext uri="{FF2B5EF4-FFF2-40B4-BE49-F238E27FC236}">
                  <a16:creationId xmlns:a16="http://schemas.microsoft.com/office/drawing/2014/main" id="{93EDAFE6-B279-8F9E-A37C-1B46CC9E339F}"/>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mlns="">
        <xdr:sp macro="" textlink="">
          <xdr:nvSpPr>
            <xdr:cNvPr id="0" name=""/>
            <xdr:cNvSpPr>
              <a:spLocks noTextEdit="1"/>
            </xdr:cNvSpPr>
          </xdr:nvSpPr>
          <xdr:spPr>
            <a:xfrm>
              <a:off x="11078277" y="5144576"/>
              <a:ext cx="2568842" cy="1248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23482</xdr:colOff>
      <xdr:row>8</xdr:row>
      <xdr:rowOff>26089</xdr:rowOff>
    </xdr:from>
    <xdr:to>
      <xdr:col>12</xdr:col>
      <xdr:colOff>473559</xdr:colOff>
      <xdr:row>11</xdr:row>
      <xdr:rowOff>230150</xdr:rowOff>
    </xdr:to>
    <mc:AlternateContent xmlns:mc="http://schemas.openxmlformats.org/markup-compatibility/2006" xmlns:a14="http://schemas.microsoft.com/office/drawing/2010/main">
      <mc:Choice Requires="a14">
        <xdr:graphicFrame macro="">
          <xdr:nvGraphicFramePr>
            <xdr:cNvPr id="3" name="Loan_Purpose">
              <a:extLst>
                <a:ext uri="{FF2B5EF4-FFF2-40B4-BE49-F238E27FC236}">
                  <a16:creationId xmlns:a16="http://schemas.microsoft.com/office/drawing/2014/main" id="{06541B95-DD12-6E4E-0D19-E7DEC2F9FEEC}"/>
                </a:ext>
              </a:extLst>
            </xdr:cNvPr>
            <xdr:cNvGraphicFramePr/>
          </xdr:nvGraphicFramePr>
          <xdr:xfrm>
            <a:off x="0" y="0"/>
            <a:ext cx="0" cy="0"/>
          </xdr:xfrm>
          <a:graphic>
            <a:graphicData uri="http://schemas.microsoft.com/office/drawing/2010/slicer">
              <sle:slicer xmlns:sle="http://schemas.microsoft.com/office/drawing/2010/slicer" name="Loan_Purpose"/>
            </a:graphicData>
          </a:graphic>
        </xdr:graphicFrame>
      </mc:Choice>
      <mc:Fallback xmlns="">
        <xdr:sp macro="" textlink="">
          <xdr:nvSpPr>
            <xdr:cNvPr id="0" name=""/>
            <xdr:cNvSpPr>
              <a:spLocks noTextEdit="1"/>
            </xdr:cNvSpPr>
          </xdr:nvSpPr>
          <xdr:spPr>
            <a:xfrm>
              <a:off x="11044499" y="1489818"/>
              <a:ext cx="3291433"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36933</xdr:colOff>
      <xdr:row>1</xdr:row>
      <xdr:rowOff>150919</xdr:rowOff>
    </xdr:from>
    <xdr:to>
      <xdr:col>13</xdr:col>
      <xdr:colOff>134328</xdr:colOff>
      <xdr:row>7</xdr:row>
      <xdr:rowOff>54816</xdr:rowOff>
    </xdr:to>
    <mc:AlternateContent xmlns:mc="http://schemas.openxmlformats.org/markup-compatibility/2006" xmlns:a14="http://schemas.microsoft.com/office/drawing/2010/main">
      <mc:Choice Requires="a14">
        <xdr:graphicFrame macro="">
          <xdr:nvGraphicFramePr>
            <xdr:cNvPr id="4" name="Employment_Status">
              <a:extLst>
                <a:ext uri="{FF2B5EF4-FFF2-40B4-BE49-F238E27FC236}">
                  <a16:creationId xmlns:a16="http://schemas.microsoft.com/office/drawing/2014/main" id="{AF7EC3E2-53C7-EAC8-92A1-70345ABC9CE6}"/>
                </a:ext>
              </a:extLst>
            </xdr:cNvPr>
            <xdr:cNvGraphicFramePr/>
          </xdr:nvGraphicFramePr>
          <xdr:xfrm>
            <a:off x="0" y="0"/>
            <a:ext cx="0" cy="0"/>
          </xdr:xfrm>
          <a:graphic>
            <a:graphicData uri="http://schemas.microsoft.com/office/drawing/2010/slicer">
              <sle:slicer xmlns:sle="http://schemas.microsoft.com/office/drawing/2010/slicer" name="Employment_Status"/>
            </a:graphicData>
          </a:graphic>
        </xdr:graphicFrame>
      </mc:Choice>
      <mc:Fallback xmlns="">
        <xdr:sp macro="" textlink="">
          <xdr:nvSpPr>
            <xdr:cNvPr id="0" name=""/>
            <xdr:cNvSpPr>
              <a:spLocks noTextEdit="1"/>
            </xdr:cNvSpPr>
          </xdr:nvSpPr>
          <xdr:spPr>
            <a:xfrm>
              <a:off x="11057950" y="333885"/>
              <a:ext cx="3939684" cy="10016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28651</xdr:colOff>
      <xdr:row>14</xdr:row>
      <xdr:rowOff>4345</xdr:rowOff>
    </xdr:from>
    <xdr:to>
      <xdr:col>13</xdr:col>
      <xdr:colOff>64576</xdr:colOff>
      <xdr:row>19</xdr:row>
      <xdr:rowOff>75338</xdr:rowOff>
    </xdr:to>
    <mc:AlternateContent xmlns:mc="http://schemas.openxmlformats.org/markup-compatibility/2006" xmlns:a14="http://schemas.microsoft.com/office/drawing/2010/main">
      <mc:Choice Requires="a14">
        <xdr:graphicFrame macro="">
          <xdr:nvGraphicFramePr>
            <xdr:cNvPr id="5" name="Loan_Status">
              <a:extLst>
                <a:ext uri="{FF2B5EF4-FFF2-40B4-BE49-F238E27FC236}">
                  <a16:creationId xmlns:a16="http://schemas.microsoft.com/office/drawing/2014/main" id="{9B75C242-0A27-8F38-BB2A-69302072C171}"/>
                </a:ext>
              </a:extLst>
            </xdr:cNvPr>
            <xdr:cNvGraphicFramePr/>
          </xdr:nvGraphicFramePr>
          <xdr:xfrm>
            <a:off x="0" y="0"/>
            <a:ext cx="0" cy="0"/>
          </xdr:xfrm>
          <a:graphic>
            <a:graphicData uri="http://schemas.microsoft.com/office/drawing/2010/slicer">
              <sle:slicer xmlns:sle="http://schemas.microsoft.com/office/drawing/2010/slicer" name="Loan_Status"/>
            </a:graphicData>
          </a:graphic>
        </xdr:graphicFrame>
      </mc:Choice>
      <mc:Fallback xmlns="">
        <xdr:sp macro="" textlink="">
          <xdr:nvSpPr>
            <xdr:cNvPr id="0" name=""/>
            <xdr:cNvSpPr>
              <a:spLocks noTextEdit="1"/>
            </xdr:cNvSpPr>
          </xdr:nvSpPr>
          <xdr:spPr>
            <a:xfrm>
              <a:off x="11049668" y="2781125"/>
              <a:ext cx="3878214" cy="9858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63080</xdr:colOff>
      <xdr:row>21</xdr:row>
      <xdr:rowOff>29901</xdr:rowOff>
    </xdr:from>
    <xdr:to>
      <xdr:col>12</xdr:col>
      <xdr:colOff>979408</xdr:colOff>
      <xdr:row>26</xdr:row>
      <xdr:rowOff>21525</xdr:rowOff>
    </xdr:to>
    <mc:AlternateContent xmlns:mc="http://schemas.openxmlformats.org/markup-compatibility/2006" xmlns:a14="http://schemas.microsoft.com/office/drawing/2010/main">
      <mc:Choice Requires="a14">
        <xdr:graphicFrame macro="">
          <xdr:nvGraphicFramePr>
            <xdr:cNvPr id="8" name="Years">
              <a:extLst>
                <a:ext uri="{FF2B5EF4-FFF2-40B4-BE49-F238E27FC236}">
                  <a16:creationId xmlns:a16="http://schemas.microsoft.com/office/drawing/2014/main" id="{EA64A95A-0D8A-7C5E-BDA6-C2AD9ABCC206}"/>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1084097" y="4087443"/>
              <a:ext cx="3757684" cy="9064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197248</xdr:colOff>
      <xdr:row>34</xdr:row>
      <xdr:rowOff>10762</xdr:rowOff>
    </xdr:from>
    <xdr:to>
      <xdr:col>1</xdr:col>
      <xdr:colOff>1366865</xdr:colOff>
      <xdr:row>46</xdr:row>
      <xdr:rowOff>32288</xdr:rowOff>
    </xdr:to>
    <xdr:graphicFrame macro="">
      <xdr:nvGraphicFramePr>
        <xdr:cNvPr id="9" name="Chart 8">
          <a:extLst>
            <a:ext uri="{FF2B5EF4-FFF2-40B4-BE49-F238E27FC236}">
              <a16:creationId xmlns:a16="http://schemas.microsoft.com/office/drawing/2014/main" id="{DB9E8DD5-495D-CFCB-D82F-705B138C8E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75213</xdr:colOff>
      <xdr:row>34</xdr:row>
      <xdr:rowOff>53813</xdr:rowOff>
    </xdr:from>
    <xdr:to>
      <xdr:col>5</xdr:col>
      <xdr:colOff>339077</xdr:colOff>
      <xdr:row>46</xdr:row>
      <xdr:rowOff>154002</xdr:rowOff>
    </xdr:to>
    <xdr:graphicFrame macro="">
      <xdr:nvGraphicFramePr>
        <xdr:cNvPr id="6" name="Chart 5">
          <a:extLst>
            <a:ext uri="{FF2B5EF4-FFF2-40B4-BE49-F238E27FC236}">
              <a16:creationId xmlns:a16="http://schemas.microsoft.com/office/drawing/2014/main" id="{40450D90-026B-DB78-E0B2-F7BFE2E17D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787277</xdr:colOff>
      <xdr:row>34</xdr:row>
      <xdr:rowOff>107627</xdr:rowOff>
    </xdr:from>
    <xdr:to>
      <xdr:col>7</xdr:col>
      <xdr:colOff>480875</xdr:colOff>
      <xdr:row>48</xdr:row>
      <xdr:rowOff>30702</xdr:rowOff>
    </xdr:to>
    <xdr:graphicFrame macro="">
      <xdr:nvGraphicFramePr>
        <xdr:cNvPr id="11" name="Chart 10">
          <a:extLst>
            <a:ext uri="{FF2B5EF4-FFF2-40B4-BE49-F238E27FC236}">
              <a16:creationId xmlns:a16="http://schemas.microsoft.com/office/drawing/2014/main" id="{6BC566CC-0354-E296-1067-109EB40C90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60271</xdr:colOff>
      <xdr:row>36</xdr:row>
      <xdr:rowOff>11407</xdr:rowOff>
    </xdr:from>
    <xdr:to>
      <xdr:col>16</xdr:col>
      <xdr:colOff>122694</xdr:colOff>
      <xdr:row>51</xdr:row>
      <xdr:rowOff>10116</xdr:rowOff>
    </xdr:to>
    <xdr:graphicFrame macro="">
      <xdr:nvGraphicFramePr>
        <xdr:cNvPr id="12" name="Chart 11">
          <a:extLst>
            <a:ext uri="{FF2B5EF4-FFF2-40B4-BE49-F238E27FC236}">
              <a16:creationId xmlns:a16="http://schemas.microsoft.com/office/drawing/2014/main" id="{053F87A2-E1EB-ED72-D28B-C54A23C14B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74262</xdr:colOff>
      <xdr:row>0</xdr:row>
      <xdr:rowOff>111664</xdr:rowOff>
    </xdr:from>
    <xdr:to>
      <xdr:col>19</xdr:col>
      <xdr:colOff>328262</xdr:colOff>
      <xdr:row>3</xdr:row>
      <xdr:rowOff>56101</xdr:rowOff>
    </xdr:to>
    <xdr:sp macro="" textlink="">
      <xdr:nvSpPr>
        <xdr:cNvPr id="4" name="Rectangle 3">
          <a:extLst>
            <a:ext uri="{FF2B5EF4-FFF2-40B4-BE49-F238E27FC236}">
              <a16:creationId xmlns:a16="http://schemas.microsoft.com/office/drawing/2014/main" id="{E1D26504-7D46-71C9-DC0D-4E2E27954B4B}"/>
            </a:ext>
          </a:extLst>
        </xdr:cNvPr>
        <xdr:cNvSpPr/>
      </xdr:nvSpPr>
      <xdr:spPr>
        <a:xfrm>
          <a:off x="74262" y="111664"/>
          <a:ext cx="11910017" cy="49333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41973</xdr:colOff>
      <xdr:row>3</xdr:row>
      <xdr:rowOff>177452</xdr:rowOff>
    </xdr:from>
    <xdr:to>
      <xdr:col>3</xdr:col>
      <xdr:colOff>527373</xdr:colOff>
      <xdr:row>7</xdr:row>
      <xdr:rowOff>150678</xdr:rowOff>
    </xdr:to>
    <xdr:sp macro="" textlink="">
      <xdr:nvSpPr>
        <xdr:cNvPr id="5" name="Rectangle: Rounded Corners 4">
          <a:extLst>
            <a:ext uri="{FF2B5EF4-FFF2-40B4-BE49-F238E27FC236}">
              <a16:creationId xmlns:a16="http://schemas.microsoft.com/office/drawing/2014/main" id="{D6AC8B6A-0A1A-C866-E5B3-E5B2D929EEC6}"/>
            </a:ext>
          </a:extLst>
        </xdr:cNvPr>
        <xdr:cNvSpPr/>
      </xdr:nvSpPr>
      <xdr:spPr>
        <a:xfrm>
          <a:off x="41973" y="726350"/>
          <a:ext cx="2325824" cy="705091"/>
        </a:xfrm>
        <a:prstGeom prst="roundRect">
          <a:avLst>
            <a:gd name="adj" fmla="val 2396"/>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136306</xdr:colOff>
      <xdr:row>4</xdr:row>
      <xdr:rowOff>3172</xdr:rowOff>
    </xdr:from>
    <xdr:to>
      <xdr:col>6</xdr:col>
      <xdr:colOff>471596</xdr:colOff>
      <xdr:row>6</xdr:row>
      <xdr:rowOff>112711</xdr:rowOff>
    </xdr:to>
    <xdr:sp macro="" textlink="">
      <xdr:nvSpPr>
        <xdr:cNvPr id="7" name="Rectangle: Rounded Corners 6">
          <a:extLst>
            <a:ext uri="{FF2B5EF4-FFF2-40B4-BE49-F238E27FC236}">
              <a16:creationId xmlns:a16="http://schemas.microsoft.com/office/drawing/2014/main" id="{0C8831BA-0ADD-49FC-977C-D7700B9D39B7}"/>
            </a:ext>
          </a:extLst>
        </xdr:cNvPr>
        <xdr:cNvSpPr/>
      </xdr:nvSpPr>
      <xdr:spPr>
        <a:xfrm>
          <a:off x="2581056" y="733422"/>
          <a:ext cx="1557665" cy="474664"/>
        </a:xfrm>
        <a:prstGeom prst="roundRect">
          <a:avLst>
            <a:gd name="adj" fmla="val 7189"/>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348624</xdr:colOff>
      <xdr:row>3</xdr:row>
      <xdr:rowOff>153488</xdr:rowOff>
    </xdr:from>
    <xdr:to>
      <xdr:col>9</xdr:col>
      <xdr:colOff>500063</xdr:colOff>
      <xdr:row>6</xdr:row>
      <xdr:rowOff>111125</xdr:rowOff>
    </xdr:to>
    <xdr:sp macro="" textlink="">
      <xdr:nvSpPr>
        <xdr:cNvPr id="8" name="Rectangle: Rounded Corners 7">
          <a:extLst>
            <a:ext uri="{FF2B5EF4-FFF2-40B4-BE49-F238E27FC236}">
              <a16:creationId xmlns:a16="http://schemas.microsoft.com/office/drawing/2014/main" id="{C738026D-0491-45F9-AF89-B7ED6BAD1E23}"/>
            </a:ext>
          </a:extLst>
        </xdr:cNvPr>
        <xdr:cNvSpPr/>
      </xdr:nvSpPr>
      <xdr:spPr>
        <a:xfrm>
          <a:off x="4626937" y="701176"/>
          <a:ext cx="1373814" cy="505324"/>
        </a:xfrm>
        <a:prstGeom prst="roundRect">
          <a:avLst>
            <a:gd name="adj" fmla="val 0"/>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405725</xdr:colOff>
      <xdr:row>3</xdr:row>
      <xdr:rowOff>148406</xdr:rowOff>
    </xdr:from>
    <xdr:to>
      <xdr:col>13</xdr:col>
      <xdr:colOff>129854</xdr:colOff>
      <xdr:row>6</xdr:row>
      <xdr:rowOff>84457</xdr:rowOff>
    </xdr:to>
    <xdr:sp macro="" textlink="">
      <xdr:nvSpPr>
        <xdr:cNvPr id="9" name="Rectangle: Rounded Corners 8">
          <a:extLst>
            <a:ext uri="{FF2B5EF4-FFF2-40B4-BE49-F238E27FC236}">
              <a16:creationId xmlns:a16="http://schemas.microsoft.com/office/drawing/2014/main" id="{6EF01DFB-70A3-4A30-8F11-B93E930F22D3}"/>
            </a:ext>
          </a:extLst>
        </xdr:cNvPr>
        <xdr:cNvSpPr/>
      </xdr:nvSpPr>
      <xdr:spPr>
        <a:xfrm>
          <a:off x="6517600" y="696094"/>
          <a:ext cx="1557692" cy="483738"/>
        </a:xfrm>
        <a:prstGeom prst="roundRect">
          <a:avLst>
            <a:gd name="adj" fmla="val 5019"/>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6882</xdr:colOff>
      <xdr:row>3</xdr:row>
      <xdr:rowOff>123649</xdr:rowOff>
    </xdr:from>
    <xdr:to>
      <xdr:col>16</xdr:col>
      <xdr:colOff>339045</xdr:colOff>
      <xdr:row>6</xdr:row>
      <xdr:rowOff>79375</xdr:rowOff>
    </xdr:to>
    <xdr:sp macro="" textlink="">
      <xdr:nvSpPr>
        <xdr:cNvPr id="10" name="Rectangle: Rounded Corners 9">
          <a:extLst>
            <a:ext uri="{FF2B5EF4-FFF2-40B4-BE49-F238E27FC236}">
              <a16:creationId xmlns:a16="http://schemas.microsoft.com/office/drawing/2014/main" id="{003188B7-8453-4C09-BFED-26576E69213D}"/>
            </a:ext>
          </a:extLst>
        </xdr:cNvPr>
        <xdr:cNvSpPr/>
      </xdr:nvSpPr>
      <xdr:spPr>
        <a:xfrm>
          <a:off x="8563507" y="671337"/>
          <a:ext cx="1554538" cy="503413"/>
        </a:xfrm>
        <a:prstGeom prst="roundRect">
          <a:avLst>
            <a:gd name="adj" fmla="val 6334"/>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216070</xdr:colOff>
      <xdr:row>3</xdr:row>
      <xdr:rowOff>181742</xdr:rowOff>
    </xdr:from>
    <xdr:to>
      <xdr:col>19</xdr:col>
      <xdr:colOff>291661</xdr:colOff>
      <xdr:row>6</xdr:row>
      <xdr:rowOff>100780</xdr:rowOff>
    </xdr:to>
    <xdr:sp macro="" textlink="">
      <xdr:nvSpPr>
        <xdr:cNvPr id="11" name="Rectangle: Rounded Corners 10">
          <a:extLst>
            <a:ext uri="{FF2B5EF4-FFF2-40B4-BE49-F238E27FC236}">
              <a16:creationId xmlns:a16="http://schemas.microsoft.com/office/drawing/2014/main" id="{ED23F6C0-E2BC-48D2-AB06-73AA2A36AF8B}"/>
            </a:ext>
          </a:extLst>
        </xdr:cNvPr>
        <xdr:cNvSpPr/>
      </xdr:nvSpPr>
      <xdr:spPr>
        <a:xfrm>
          <a:off x="10606258" y="729430"/>
          <a:ext cx="1297966" cy="466725"/>
        </a:xfrm>
        <a:prstGeom prst="roundRect">
          <a:avLst>
            <a:gd name="adj" fmla="val 5192"/>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38485</xdr:colOff>
      <xdr:row>8</xdr:row>
      <xdr:rowOff>19896</xdr:rowOff>
    </xdr:from>
    <xdr:to>
      <xdr:col>3</xdr:col>
      <xdr:colOff>504520</xdr:colOff>
      <xdr:row>13</xdr:row>
      <xdr:rowOff>147878</xdr:rowOff>
    </xdr:to>
    <xdr:sp macro="" textlink="">
      <xdr:nvSpPr>
        <xdr:cNvPr id="12" name="Rectangle: Rounded Corners 11">
          <a:extLst>
            <a:ext uri="{FF2B5EF4-FFF2-40B4-BE49-F238E27FC236}">
              <a16:creationId xmlns:a16="http://schemas.microsoft.com/office/drawing/2014/main" id="{28D38F08-47F8-44CC-8C81-796F5B92A5B2}"/>
            </a:ext>
          </a:extLst>
        </xdr:cNvPr>
        <xdr:cNvSpPr/>
      </xdr:nvSpPr>
      <xdr:spPr>
        <a:xfrm>
          <a:off x="38485" y="1481266"/>
          <a:ext cx="2292747" cy="1041338"/>
        </a:xfrm>
        <a:prstGeom prst="roundRect">
          <a:avLst>
            <a:gd name="adj" fmla="val 745"/>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65690</xdr:colOff>
      <xdr:row>20</xdr:row>
      <xdr:rowOff>120431</xdr:rowOff>
    </xdr:from>
    <xdr:to>
      <xdr:col>3</xdr:col>
      <xdr:colOff>547414</xdr:colOff>
      <xdr:row>26</xdr:row>
      <xdr:rowOff>32845</xdr:rowOff>
    </xdr:to>
    <xdr:sp macro="" textlink="">
      <xdr:nvSpPr>
        <xdr:cNvPr id="13" name="Rectangle: Rounded Corners 12">
          <a:extLst>
            <a:ext uri="{FF2B5EF4-FFF2-40B4-BE49-F238E27FC236}">
              <a16:creationId xmlns:a16="http://schemas.microsoft.com/office/drawing/2014/main" id="{AA28D1FA-2636-4761-A85B-A4DCB0C968F5}"/>
            </a:ext>
          </a:extLst>
        </xdr:cNvPr>
        <xdr:cNvSpPr/>
      </xdr:nvSpPr>
      <xdr:spPr>
        <a:xfrm>
          <a:off x="65690" y="3842845"/>
          <a:ext cx="2321034" cy="1029138"/>
        </a:xfrm>
        <a:prstGeom prst="roundRect">
          <a:avLst>
            <a:gd name="adj" fmla="val 2052"/>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62297</xdr:colOff>
      <xdr:row>14</xdr:row>
      <xdr:rowOff>63704</xdr:rowOff>
    </xdr:from>
    <xdr:to>
      <xdr:col>3</xdr:col>
      <xdr:colOff>530617</xdr:colOff>
      <xdr:row>20</xdr:row>
      <xdr:rowOff>70118</xdr:rowOff>
    </xdr:to>
    <xdr:sp macro="" textlink="">
      <xdr:nvSpPr>
        <xdr:cNvPr id="14" name="Rectangle: Rounded Corners 13">
          <a:extLst>
            <a:ext uri="{FF2B5EF4-FFF2-40B4-BE49-F238E27FC236}">
              <a16:creationId xmlns:a16="http://schemas.microsoft.com/office/drawing/2014/main" id="{FEC974FF-6A7F-4B3F-B1A8-8E18CC770DFB}"/>
            </a:ext>
          </a:extLst>
        </xdr:cNvPr>
        <xdr:cNvSpPr/>
      </xdr:nvSpPr>
      <xdr:spPr>
        <a:xfrm>
          <a:off x="62297" y="2621101"/>
          <a:ext cx="2295032" cy="1102442"/>
        </a:xfrm>
        <a:prstGeom prst="roundRect">
          <a:avLst>
            <a:gd name="adj" fmla="val 1607"/>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103119</xdr:colOff>
      <xdr:row>26</xdr:row>
      <xdr:rowOff>129859</xdr:rowOff>
    </xdr:from>
    <xdr:to>
      <xdr:col>3</xdr:col>
      <xdr:colOff>514569</xdr:colOff>
      <xdr:row>32</xdr:row>
      <xdr:rowOff>87587</xdr:rowOff>
    </xdr:to>
    <xdr:sp macro="" textlink="">
      <xdr:nvSpPr>
        <xdr:cNvPr id="15" name="Rectangle: Rounded Corners 14">
          <a:extLst>
            <a:ext uri="{FF2B5EF4-FFF2-40B4-BE49-F238E27FC236}">
              <a16:creationId xmlns:a16="http://schemas.microsoft.com/office/drawing/2014/main" id="{F17E1525-DC59-40D8-A15B-54E6365A6842}"/>
            </a:ext>
          </a:extLst>
        </xdr:cNvPr>
        <xdr:cNvSpPr/>
      </xdr:nvSpPr>
      <xdr:spPr>
        <a:xfrm>
          <a:off x="103119" y="4968997"/>
          <a:ext cx="2250760" cy="1074452"/>
        </a:xfrm>
        <a:prstGeom prst="roundRect">
          <a:avLst>
            <a:gd name="adj" fmla="val 0"/>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124702</xdr:colOff>
      <xdr:row>8</xdr:row>
      <xdr:rowOff>9544</xdr:rowOff>
    </xdr:from>
    <xdr:to>
      <xdr:col>10</xdr:col>
      <xdr:colOff>334818</xdr:colOff>
      <xdr:row>20</xdr:row>
      <xdr:rowOff>11546</xdr:rowOff>
    </xdr:to>
    <xdr:sp macro="" textlink="">
      <xdr:nvSpPr>
        <xdr:cNvPr id="16" name="Rectangle: Rounded Corners 15">
          <a:extLst>
            <a:ext uri="{FF2B5EF4-FFF2-40B4-BE49-F238E27FC236}">
              <a16:creationId xmlns:a16="http://schemas.microsoft.com/office/drawing/2014/main" id="{79CD0FB2-5A2B-433A-97B8-B4C66243B2B4}"/>
            </a:ext>
          </a:extLst>
        </xdr:cNvPr>
        <xdr:cNvSpPr/>
      </xdr:nvSpPr>
      <xdr:spPr>
        <a:xfrm>
          <a:off x="2572338" y="1487362"/>
          <a:ext cx="3881571" cy="2218729"/>
        </a:xfrm>
        <a:prstGeom prst="roundRect">
          <a:avLst>
            <a:gd name="adj" fmla="val 562"/>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516287</xdr:colOff>
      <xdr:row>8</xdr:row>
      <xdr:rowOff>1</xdr:rowOff>
    </xdr:from>
    <xdr:to>
      <xdr:col>19</xdr:col>
      <xdr:colOff>229913</xdr:colOff>
      <xdr:row>20</xdr:row>
      <xdr:rowOff>65689</xdr:rowOff>
    </xdr:to>
    <xdr:sp macro="" textlink="">
      <xdr:nvSpPr>
        <xdr:cNvPr id="17" name="Rectangle: Rounded Corners 16">
          <a:extLst>
            <a:ext uri="{FF2B5EF4-FFF2-40B4-BE49-F238E27FC236}">
              <a16:creationId xmlns:a16="http://schemas.microsoft.com/office/drawing/2014/main" id="{55A58D94-A472-4210-90DD-6BBD70F5ECC2}"/>
            </a:ext>
          </a:extLst>
        </xdr:cNvPr>
        <xdr:cNvSpPr/>
      </xdr:nvSpPr>
      <xdr:spPr>
        <a:xfrm>
          <a:off x="6654620" y="1439334"/>
          <a:ext cx="5238126" cy="2224688"/>
        </a:xfrm>
        <a:prstGeom prst="roundRect">
          <a:avLst>
            <a:gd name="adj" fmla="val 727"/>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145064</xdr:colOff>
      <xdr:row>21</xdr:row>
      <xdr:rowOff>34636</xdr:rowOff>
    </xdr:from>
    <xdr:to>
      <xdr:col>10</xdr:col>
      <xdr:colOff>311727</xdr:colOff>
      <xdr:row>32</xdr:row>
      <xdr:rowOff>69271</xdr:rowOff>
    </xdr:to>
    <xdr:sp macro="" textlink="">
      <xdr:nvSpPr>
        <xdr:cNvPr id="18" name="Rectangle: Rounded Corners 17">
          <a:extLst>
            <a:ext uri="{FF2B5EF4-FFF2-40B4-BE49-F238E27FC236}">
              <a16:creationId xmlns:a16="http://schemas.microsoft.com/office/drawing/2014/main" id="{9DE97509-EACD-4F92-AF60-27B74DD895DE}"/>
            </a:ext>
          </a:extLst>
        </xdr:cNvPr>
        <xdr:cNvSpPr/>
      </xdr:nvSpPr>
      <xdr:spPr>
        <a:xfrm>
          <a:off x="2592700" y="3913909"/>
          <a:ext cx="3838118" cy="2066635"/>
        </a:xfrm>
        <a:prstGeom prst="roundRect">
          <a:avLst>
            <a:gd name="adj" fmla="val 776"/>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553065</xdr:colOff>
      <xdr:row>21</xdr:row>
      <xdr:rowOff>61451</xdr:rowOff>
    </xdr:from>
    <xdr:to>
      <xdr:col>19</xdr:col>
      <xdr:colOff>186120</xdr:colOff>
      <xdr:row>32</xdr:row>
      <xdr:rowOff>51211</xdr:rowOff>
    </xdr:to>
    <xdr:sp macro="" textlink="">
      <xdr:nvSpPr>
        <xdr:cNvPr id="19" name="Rectangle: Rounded Corners 18">
          <a:extLst>
            <a:ext uri="{FF2B5EF4-FFF2-40B4-BE49-F238E27FC236}">
              <a16:creationId xmlns:a16="http://schemas.microsoft.com/office/drawing/2014/main" id="{43048B08-B5FF-49E2-83A4-A619E21E3A0F}"/>
            </a:ext>
          </a:extLst>
        </xdr:cNvPr>
        <xdr:cNvSpPr/>
      </xdr:nvSpPr>
      <xdr:spPr>
        <a:xfrm>
          <a:off x="6698226" y="3932903"/>
          <a:ext cx="5163700" cy="2017663"/>
        </a:xfrm>
        <a:prstGeom prst="roundRect">
          <a:avLst>
            <a:gd name="adj" fmla="val 1299"/>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55563</xdr:colOff>
      <xdr:row>0</xdr:row>
      <xdr:rowOff>58615</xdr:rowOff>
    </xdr:from>
    <xdr:to>
      <xdr:col>14</xdr:col>
      <xdr:colOff>302846</xdr:colOff>
      <xdr:row>3</xdr:row>
      <xdr:rowOff>79375</xdr:rowOff>
    </xdr:to>
    <xdr:sp macro="" textlink="">
      <xdr:nvSpPr>
        <xdr:cNvPr id="20" name="TextBox 19">
          <a:extLst>
            <a:ext uri="{FF2B5EF4-FFF2-40B4-BE49-F238E27FC236}">
              <a16:creationId xmlns:a16="http://schemas.microsoft.com/office/drawing/2014/main" id="{5ABB89BA-0564-4A28-5A70-A7C7D19CED14}"/>
            </a:ext>
          </a:extLst>
        </xdr:cNvPr>
        <xdr:cNvSpPr txBox="1"/>
      </xdr:nvSpPr>
      <xdr:spPr>
        <a:xfrm>
          <a:off x="55563" y="58615"/>
          <a:ext cx="8803908" cy="568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Canadian</a:t>
          </a:r>
          <a:r>
            <a:rPr lang="en-US" sz="2800" b="1" baseline="0">
              <a:solidFill>
                <a:schemeClr val="bg1"/>
              </a:solidFill>
            </a:rPr>
            <a:t> Loan Portfolio Dashboard</a:t>
          </a:r>
          <a:endParaRPr lang="en-US" sz="2800" b="1">
            <a:solidFill>
              <a:schemeClr val="bg1"/>
            </a:solidFill>
          </a:endParaRPr>
        </a:p>
      </xdr:txBody>
    </xdr:sp>
    <xdr:clientData/>
  </xdr:twoCellAnchor>
  <xdr:twoCellAnchor>
    <xdr:from>
      <xdr:col>4</xdr:col>
      <xdr:colOff>166688</xdr:colOff>
      <xdr:row>3</xdr:row>
      <xdr:rowOff>170803</xdr:rowOff>
    </xdr:from>
    <xdr:to>
      <xdr:col>6</xdr:col>
      <xdr:colOff>539750</xdr:colOff>
      <xdr:row>5</xdr:row>
      <xdr:rowOff>132650</xdr:rowOff>
    </xdr:to>
    <xdr:sp macro="" textlink="">
      <xdr:nvSpPr>
        <xdr:cNvPr id="24" name="TextBox 23">
          <a:extLst>
            <a:ext uri="{FF2B5EF4-FFF2-40B4-BE49-F238E27FC236}">
              <a16:creationId xmlns:a16="http://schemas.microsoft.com/office/drawing/2014/main" id="{A3DFF60B-6963-FB94-4B09-D7FD7D1862A5}"/>
            </a:ext>
          </a:extLst>
        </xdr:cNvPr>
        <xdr:cNvSpPr txBox="1"/>
      </xdr:nvSpPr>
      <xdr:spPr>
        <a:xfrm>
          <a:off x="2620586" y="719701"/>
          <a:ext cx="1600011" cy="327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Loan Amount</a:t>
          </a:r>
        </a:p>
      </xdr:txBody>
    </xdr:sp>
    <xdr:clientData/>
  </xdr:twoCellAnchor>
  <xdr:twoCellAnchor>
    <xdr:from>
      <xdr:col>4</xdr:col>
      <xdr:colOff>214685</xdr:colOff>
      <xdr:row>5</xdr:row>
      <xdr:rowOff>32472</xdr:rowOff>
    </xdr:from>
    <xdr:to>
      <xdr:col>6</xdr:col>
      <xdr:colOff>143246</xdr:colOff>
      <xdr:row>6</xdr:row>
      <xdr:rowOff>103910</xdr:rowOff>
    </xdr:to>
    <xdr:sp macro="" textlink="Pivot_KPIs!B8">
      <xdr:nvSpPr>
        <xdr:cNvPr id="25" name="TextBox 24">
          <a:extLst>
            <a:ext uri="{FF2B5EF4-FFF2-40B4-BE49-F238E27FC236}">
              <a16:creationId xmlns:a16="http://schemas.microsoft.com/office/drawing/2014/main" id="{C8CCB317-5DA6-6FB6-A1CF-B4942422E87A}"/>
            </a:ext>
          </a:extLst>
        </xdr:cNvPr>
        <xdr:cNvSpPr txBox="1"/>
      </xdr:nvSpPr>
      <xdr:spPr>
        <a:xfrm>
          <a:off x="2668583" y="947303"/>
          <a:ext cx="1155510" cy="254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0B1630-5DD6-4315-A9A3-7CC64CC9F9CA}" type="TxLink">
            <a:rPr lang="en-US" sz="1100" b="1" i="0" u="none" strike="noStrike">
              <a:solidFill>
                <a:srgbClr val="000000"/>
              </a:solidFill>
              <a:latin typeface="Aptos Narrow"/>
            </a:rPr>
            <a:pPr/>
            <a:t>304.3M</a:t>
          </a:fld>
          <a:endParaRPr lang="en-US" sz="1100" b="1"/>
        </a:p>
      </xdr:txBody>
    </xdr:sp>
    <xdr:clientData/>
  </xdr:twoCellAnchor>
  <xdr:twoCellAnchor>
    <xdr:from>
      <xdr:col>7</xdr:col>
      <xdr:colOff>349250</xdr:colOff>
      <xdr:row>3</xdr:row>
      <xdr:rowOff>158749</xdr:rowOff>
    </xdr:from>
    <xdr:to>
      <xdr:col>9</xdr:col>
      <xdr:colOff>79374</xdr:colOff>
      <xdr:row>5</xdr:row>
      <xdr:rowOff>39687</xdr:rowOff>
    </xdr:to>
    <xdr:sp macro="" textlink="">
      <xdr:nvSpPr>
        <xdr:cNvPr id="29" name="TextBox 28">
          <a:extLst>
            <a:ext uri="{FF2B5EF4-FFF2-40B4-BE49-F238E27FC236}">
              <a16:creationId xmlns:a16="http://schemas.microsoft.com/office/drawing/2014/main" id="{7A2806F8-CFB4-3A2D-738F-E70F644FA3E9}"/>
            </a:ext>
          </a:extLst>
        </xdr:cNvPr>
        <xdr:cNvSpPr txBox="1"/>
      </xdr:nvSpPr>
      <xdr:spPr>
        <a:xfrm>
          <a:off x="4627563" y="706437"/>
          <a:ext cx="952499" cy="246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Loans</a:t>
          </a:r>
        </a:p>
      </xdr:txBody>
    </xdr:sp>
    <xdr:clientData/>
  </xdr:twoCellAnchor>
  <xdr:twoCellAnchor>
    <xdr:from>
      <xdr:col>7</xdr:col>
      <xdr:colOff>365125</xdr:colOff>
      <xdr:row>4</xdr:row>
      <xdr:rowOff>166688</xdr:rowOff>
    </xdr:from>
    <xdr:to>
      <xdr:col>8</xdr:col>
      <xdr:colOff>555625</xdr:colOff>
      <xdr:row>6</xdr:row>
      <xdr:rowOff>0</xdr:rowOff>
    </xdr:to>
    <xdr:sp macro="" textlink="Pivot_KPIs!B9">
      <xdr:nvSpPr>
        <xdr:cNvPr id="31" name="TextBox 30">
          <a:extLst>
            <a:ext uri="{FF2B5EF4-FFF2-40B4-BE49-F238E27FC236}">
              <a16:creationId xmlns:a16="http://schemas.microsoft.com/office/drawing/2014/main" id="{BF3BD52C-A7FA-92F8-0435-6CADBE602051}"/>
            </a:ext>
          </a:extLst>
        </xdr:cNvPr>
        <xdr:cNvSpPr txBox="1"/>
      </xdr:nvSpPr>
      <xdr:spPr>
        <a:xfrm>
          <a:off x="4643438" y="896938"/>
          <a:ext cx="801687" cy="198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54B39C-F448-47FC-8DF1-DF88D5FA5F17}" type="TxLink">
            <a:rPr lang="en-US" sz="1100" b="1" i="0" u="none" strike="noStrike">
              <a:solidFill>
                <a:srgbClr val="000000"/>
              </a:solidFill>
              <a:latin typeface="Aptos Narrow"/>
            </a:rPr>
            <a:pPr/>
            <a:t>800</a:t>
          </a:fld>
          <a:endParaRPr lang="en-US" sz="1100" b="1"/>
        </a:p>
      </xdr:txBody>
    </xdr:sp>
    <xdr:clientData/>
  </xdr:twoCellAnchor>
  <xdr:twoCellAnchor>
    <xdr:from>
      <xdr:col>10</xdr:col>
      <xdr:colOff>373063</xdr:colOff>
      <xdr:row>3</xdr:row>
      <xdr:rowOff>134938</xdr:rowOff>
    </xdr:from>
    <xdr:to>
      <xdr:col>13</xdr:col>
      <xdr:colOff>142876</xdr:colOff>
      <xdr:row>5</xdr:row>
      <xdr:rowOff>31751</xdr:rowOff>
    </xdr:to>
    <xdr:sp macro="" textlink="">
      <xdr:nvSpPr>
        <xdr:cNvPr id="32" name="TextBox 31">
          <a:extLst>
            <a:ext uri="{FF2B5EF4-FFF2-40B4-BE49-F238E27FC236}">
              <a16:creationId xmlns:a16="http://schemas.microsoft.com/office/drawing/2014/main" id="{DAFC0D10-0C77-AA9C-B4AC-4BBD1AA38498}"/>
            </a:ext>
          </a:extLst>
        </xdr:cNvPr>
        <xdr:cNvSpPr txBox="1"/>
      </xdr:nvSpPr>
      <xdr:spPr>
        <a:xfrm>
          <a:off x="6484938" y="682626"/>
          <a:ext cx="1603376"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Avg Interest Rate </a:t>
          </a:r>
          <a:r>
            <a:rPr lang="en-US" sz="1100"/>
            <a:t>(%)</a:t>
          </a:r>
        </a:p>
      </xdr:txBody>
    </xdr:sp>
    <xdr:clientData/>
  </xdr:twoCellAnchor>
  <xdr:twoCellAnchor>
    <xdr:from>
      <xdr:col>10</xdr:col>
      <xdr:colOff>404814</xdr:colOff>
      <xdr:row>4</xdr:row>
      <xdr:rowOff>150813</xdr:rowOff>
    </xdr:from>
    <xdr:to>
      <xdr:col>12</xdr:col>
      <xdr:colOff>214314</xdr:colOff>
      <xdr:row>6</xdr:row>
      <xdr:rowOff>87314</xdr:rowOff>
    </xdr:to>
    <xdr:sp macro="" textlink="Pivot_KPIs!B10">
      <xdr:nvSpPr>
        <xdr:cNvPr id="33" name="TextBox 32">
          <a:extLst>
            <a:ext uri="{FF2B5EF4-FFF2-40B4-BE49-F238E27FC236}">
              <a16:creationId xmlns:a16="http://schemas.microsoft.com/office/drawing/2014/main" id="{E9E9F207-01E6-0449-2361-0E8F1F96FF28}"/>
            </a:ext>
          </a:extLst>
        </xdr:cNvPr>
        <xdr:cNvSpPr txBox="1"/>
      </xdr:nvSpPr>
      <xdr:spPr>
        <a:xfrm>
          <a:off x="6516689" y="881063"/>
          <a:ext cx="1031875" cy="301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EA1495-1F31-4224-A2E3-A78B4ED2B011}" type="TxLink">
            <a:rPr lang="en-US" sz="1100" b="1" i="0" u="none" strike="noStrike">
              <a:solidFill>
                <a:srgbClr val="000000"/>
              </a:solidFill>
              <a:latin typeface="Aptos Narrow"/>
            </a:rPr>
            <a:pPr/>
            <a:t>8.77</a:t>
          </a:fld>
          <a:endParaRPr lang="en-US" sz="1100" b="1"/>
        </a:p>
      </xdr:txBody>
    </xdr:sp>
    <xdr:clientData/>
  </xdr:twoCellAnchor>
  <xdr:twoCellAnchor>
    <xdr:from>
      <xdr:col>14</xdr:col>
      <xdr:colOff>7938</xdr:colOff>
      <xdr:row>3</xdr:row>
      <xdr:rowOff>126999</xdr:rowOff>
    </xdr:from>
    <xdr:to>
      <xdr:col>16</xdr:col>
      <xdr:colOff>142875</xdr:colOff>
      <xdr:row>5</xdr:row>
      <xdr:rowOff>63499</xdr:rowOff>
    </xdr:to>
    <xdr:sp macro="" textlink="">
      <xdr:nvSpPr>
        <xdr:cNvPr id="34" name="TextBox 33">
          <a:extLst>
            <a:ext uri="{FF2B5EF4-FFF2-40B4-BE49-F238E27FC236}">
              <a16:creationId xmlns:a16="http://schemas.microsoft.com/office/drawing/2014/main" id="{E62533B4-5953-2E97-A55D-EB9B88AF8D02}"/>
            </a:ext>
          </a:extLst>
        </xdr:cNvPr>
        <xdr:cNvSpPr txBox="1"/>
      </xdr:nvSpPr>
      <xdr:spPr>
        <a:xfrm>
          <a:off x="8564563" y="674687"/>
          <a:ext cx="1357312" cy="30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Avg Credit Score</a:t>
          </a:r>
        </a:p>
      </xdr:txBody>
    </xdr:sp>
    <xdr:clientData/>
  </xdr:twoCellAnchor>
  <xdr:twoCellAnchor>
    <xdr:from>
      <xdr:col>14</xdr:col>
      <xdr:colOff>15875</xdr:colOff>
      <xdr:row>4</xdr:row>
      <xdr:rowOff>111126</xdr:rowOff>
    </xdr:from>
    <xdr:to>
      <xdr:col>15</xdr:col>
      <xdr:colOff>428624</xdr:colOff>
      <xdr:row>6</xdr:row>
      <xdr:rowOff>47626</xdr:rowOff>
    </xdr:to>
    <xdr:sp macro="" textlink="Pivot_KPIs!B11">
      <xdr:nvSpPr>
        <xdr:cNvPr id="35" name="TextBox 34">
          <a:extLst>
            <a:ext uri="{FF2B5EF4-FFF2-40B4-BE49-F238E27FC236}">
              <a16:creationId xmlns:a16="http://schemas.microsoft.com/office/drawing/2014/main" id="{3AD160B4-AAB7-CA71-C544-2131BC008751}"/>
            </a:ext>
          </a:extLst>
        </xdr:cNvPr>
        <xdr:cNvSpPr txBox="1"/>
      </xdr:nvSpPr>
      <xdr:spPr>
        <a:xfrm>
          <a:off x="8572500" y="841376"/>
          <a:ext cx="1023937" cy="30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307C66-7156-4B10-AE83-CF19CB8CC46F}" type="TxLink">
            <a:rPr lang="en-US" sz="1400" b="1" i="0" u="none" strike="noStrike">
              <a:solidFill>
                <a:srgbClr val="000000"/>
              </a:solidFill>
              <a:latin typeface="Aptos Narrow"/>
            </a:rPr>
            <a:pPr/>
            <a:t>710.28</a:t>
          </a:fld>
          <a:endParaRPr lang="en-US" sz="1100" b="1"/>
        </a:p>
      </xdr:txBody>
    </xdr:sp>
    <xdr:clientData/>
  </xdr:twoCellAnchor>
  <xdr:twoCellAnchor>
    <xdr:from>
      <xdr:col>17</xdr:col>
      <xdr:colOff>206374</xdr:colOff>
      <xdr:row>3</xdr:row>
      <xdr:rowOff>166687</xdr:rowOff>
    </xdr:from>
    <xdr:to>
      <xdr:col>18</xdr:col>
      <xdr:colOff>523874</xdr:colOff>
      <xdr:row>5</xdr:row>
      <xdr:rowOff>95250</xdr:rowOff>
    </xdr:to>
    <xdr:sp macro="" textlink="">
      <xdr:nvSpPr>
        <xdr:cNvPr id="36" name="TextBox 35">
          <a:extLst>
            <a:ext uri="{FF2B5EF4-FFF2-40B4-BE49-F238E27FC236}">
              <a16:creationId xmlns:a16="http://schemas.microsoft.com/office/drawing/2014/main" id="{F24D2512-0B51-7B14-BE82-E2E6804457C7}"/>
            </a:ext>
          </a:extLst>
        </xdr:cNvPr>
        <xdr:cNvSpPr txBox="1"/>
      </xdr:nvSpPr>
      <xdr:spPr>
        <a:xfrm>
          <a:off x="10596562" y="714375"/>
          <a:ext cx="928687" cy="293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Avg DTI </a:t>
          </a:r>
          <a:r>
            <a:rPr lang="en-US" sz="1100"/>
            <a:t>(%)</a:t>
          </a:r>
        </a:p>
      </xdr:txBody>
    </xdr:sp>
    <xdr:clientData/>
  </xdr:twoCellAnchor>
  <xdr:twoCellAnchor>
    <xdr:from>
      <xdr:col>17</xdr:col>
      <xdr:colOff>238123</xdr:colOff>
      <xdr:row>4</xdr:row>
      <xdr:rowOff>158750</xdr:rowOff>
    </xdr:from>
    <xdr:to>
      <xdr:col>18</xdr:col>
      <xdr:colOff>404811</xdr:colOff>
      <xdr:row>6</xdr:row>
      <xdr:rowOff>79375</xdr:rowOff>
    </xdr:to>
    <xdr:sp macro="" textlink="Pivot_KPIs!B12">
      <xdr:nvSpPr>
        <xdr:cNvPr id="37" name="TextBox 36">
          <a:extLst>
            <a:ext uri="{FF2B5EF4-FFF2-40B4-BE49-F238E27FC236}">
              <a16:creationId xmlns:a16="http://schemas.microsoft.com/office/drawing/2014/main" id="{68E9DABD-F57E-E8DB-ECB1-C5A24B0F4C28}"/>
            </a:ext>
          </a:extLst>
        </xdr:cNvPr>
        <xdr:cNvSpPr txBox="1"/>
      </xdr:nvSpPr>
      <xdr:spPr>
        <a:xfrm>
          <a:off x="10628311" y="889000"/>
          <a:ext cx="7778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3B4EAA-1205-448F-985B-0B3211C2C70B}" type="TxLink">
            <a:rPr lang="en-US" sz="1400" b="1" i="0" u="none" strike="noStrike">
              <a:solidFill>
                <a:srgbClr val="000000"/>
              </a:solidFill>
              <a:latin typeface="Aptos Narrow"/>
            </a:rPr>
            <a:pPr/>
            <a:t>27.40</a:t>
          </a:fld>
          <a:endParaRPr lang="en-US" sz="1100" b="1"/>
        </a:p>
      </xdr:txBody>
    </xdr:sp>
    <xdr:clientData/>
  </xdr:twoCellAnchor>
  <xdr:twoCellAnchor>
    <xdr:from>
      <xdr:col>4</xdr:col>
      <xdr:colOff>208016</xdr:colOff>
      <xdr:row>8</xdr:row>
      <xdr:rowOff>45585</xdr:rowOff>
    </xdr:from>
    <xdr:to>
      <xdr:col>7</xdr:col>
      <xdr:colOff>74663</xdr:colOff>
      <xdr:row>10</xdr:row>
      <xdr:rowOff>14133</xdr:rowOff>
    </xdr:to>
    <xdr:sp macro="" textlink="">
      <xdr:nvSpPr>
        <xdr:cNvPr id="2" name="TextBox 1">
          <a:extLst>
            <a:ext uri="{FF2B5EF4-FFF2-40B4-BE49-F238E27FC236}">
              <a16:creationId xmlns:a16="http://schemas.microsoft.com/office/drawing/2014/main" id="{2FB6A703-6522-3C50-CFF4-F6EB7697E977}"/>
            </a:ext>
          </a:extLst>
        </xdr:cNvPr>
        <xdr:cNvSpPr txBox="1"/>
      </xdr:nvSpPr>
      <xdr:spPr>
        <a:xfrm>
          <a:off x="2655652" y="1523403"/>
          <a:ext cx="1702375" cy="338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Loan Portfolio by Province </a:t>
          </a:r>
        </a:p>
      </xdr:txBody>
    </xdr:sp>
    <xdr:clientData/>
  </xdr:twoCellAnchor>
  <xdr:twoCellAnchor>
    <xdr:from>
      <xdr:col>11</xdr:col>
      <xdr:colOff>30655</xdr:colOff>
      <xdr:row>8</xdr:row>
      <xdr:rowOff>74009</xdr:rowOff>
    </xdr:from>
    <xdr:to>
      <xdr:col>18</xdr:col>
      <xdr:colOff>98535</xdr:colOff>
      <xdr:row>19</xdr:row>
      <xdr:rowOff>157783</xdr:rowOff>
    </xdr:to>
    <xdr:graphicFrame macro="">
      <xdr:nvGraphicFramePr>
        <xdr:cNvPr id="3" name="Chart 2">
          <a:extLst>
            <a:ext uri="{FF2B5EF4-FFF2-40B4-BE49-F238E27FC236}">
              <a16:creationId xmlns:a16="http://schemas.microsoft.com/office/drawing/2014/main" id="{6780B917-3799-427A-AB9A-A06B6D38CC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196849</xdr:colOff>
      <xdr:row>8</xdr:row>
      <xdr:rowOff>30726</xdr:rowOff>
    </xdr:from>
    <xdr:to>
      <xdr:col>14</xdr:col>
      <xdr:colOff>553064</xdr:colOff>
      <xdr:row>9</xdr:row>
      <xdr:rowOff>174112</xdr:rowOff>
    </xdr:to>
    <xdr:sp macro="" textlink="">
      <xdr:nvSpPr>
        <xdr:cNvPr id="6" name="TextBox 5">
          <a:extLst>
            <a:ext uri="{FF2B5EF4-FFF2-40B4-BE49-F238E27FC236}">
              <a16:creationId xmlns:a16="http://schemas.microsoft.com/office/drawing/2014/main" id="{D1C14E35-04C0-7FA5-4633-DCCAE856CC50}"/>
            </a:ext>
          </a:extLst>
        </xdr:cNvPr>
        <xdr:cNvSpPr txBox="1"/>
      </xdr:nvSpPr>
      <xdr:spPr>
        <a:xfrm>
          <a:off x="6956526" y="1505565"/>
          <a:ext cx="2199764" cy="327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Loan Amount by Purpose</a:t>
          </a:r>
        </a:p>
      </xdr:txBody>
    </xdr:sp>
    <xdr:clientData/>
  </xdr:twoCellAnchor>
  <xdr:twoCellAnchor>
    <xdr:from>
      <xdr:col>4</xdr:col>
      <xdr:colOff>314648</xdr:colOff>
      <xdr:row>23</xdr:row>
      <xdr:rowOff>6490</xdr:rowOff>
    </xdr:from>
    <xdr:to>
      <xdr:col>9</xdr:col>
      <xdr:colOff>388938</xdr:colOff>
      <xdr:row>28</xdr:row>
      <xdr:rowOff>166688</xdr:rowOff>
    </xdr:to>
    <xdr:graphicFrame macro="">
      <xdr:nvGraphicFramePr>
        <xdr:cNvPr id="21" name="Chart 20">
          <a:extLst>
            <a:ext uri="{FF2B5EF4-FFF2-40B4-BE49-F238E27FC236}">
              <a16:creationId xmlns:a16="http://schemas.microsoft.com/office/drawing/2014/main" id="{521A35DA-8BEA-4EFF-B34F-B56B42A01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197069</xdr:colOff>
      <xdr:row>21</xdr:row>
      <xdr:rowOff>81936</xdr:rowOff>
    </xdr:from>
    <xdr:to>
      <xdr:col>6</xdr:col>
      <xdr:colOff>542822</xdr:colOff>
      <xdr:row>23</xdr:row>
      <xdr:rowOff>81936</xdr:rowOff>
    </xdr:to>
    <xdr:sp macro="" textlink="">
      <xdr:nvSpPr>
        <xdr:cNvPr id="26" name="TextBox 25">
          <a:extLst>
            <a:ext uri="{FF2B5EF4-FFF2-40B4-BE49-F238E27FC236}">
              <a16:creationId xmlns:a16="http://schemas.microsoft.com/office/drawing/2014/main" id="{32B8FE07-A35B-14E9-29DE-33F82358E689}"/>
            </a:ext>
          </a:extLst>
        </xdr:cNvPr>
        <xdr:cNvSpPr txBox="1"/>
      </xdr:nvSpPr>
      <xdr:spPr>
        <a:xfrm>
          <a:off x="2655134" y="3953388"/>
          <a:ext cx="1574785" cy="368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Monthly</a:t>
          </a:r>
          <a:r>
            <a:rPr lang="en-US" sz="1200" b="1" baseline="0"/>
            <a:t> loan Trend</a:t>
          </a:r>
          <a:endParaRPr lang="en-US" sz="1200" b="1"/>
        </a:p>
      </xdr:txBody>
    </xdr:sp>
    <xdr:clientData/>
  </xdr:twoCellAnchor>
  <xdr:twoCellAnchor>
    <xdr:from>
      <xdr:col>4</xdr:col>
      <xdr:colOff>214584</xdr:colOff>
      <xdr:row>9</xdr:row>
      <xdr:rowOff>127544</xdr:rowOff>
    </xdr:from>
    <xdr:to>
      <xdr:col>10</xdr:col>
      <xdr:colOff>0</xdr:colOff>
      <xdr:row>18</xdr:row>
      <xdr:rowOff>111847</xdr:rowOff>
    </xdr:to>
    <xdr:graphicFrame macro="">
      <xdr:nvGraphicFramePr>
        <xdr:cNvPr id="27" name="Chart 26">
          <a:extLst>
            <a:ext uri="{FF2B5EF4-FFF2-40B4-BE49-F238E27FC236}">
              <a16:creationId xmlns:a16="http://schemas.microsoft.com/office/drawing/2014/main" id="{96AFDC7F-8ED6-49AF-8509-63DE1C1B2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6884</xdr:colOff>
      <xdr:row>23</xdr:row>
      <xdr:rowOff>128380</xdr:rowOff>
    </xdr:from>
    <xdr:to>
      <xdr:col>18</xdr:col>
      <xdr:colOff>507331</xdr:colOff>
      <xdr:row>32</xdr:row>
      <xdr:rowOff>21526</xdr:rowOff>
    </xdr:to>
    <xdr:graphicFrame macro="">
      <xdr:nvGraphicFramePr>
        <xdr:cNvPr id="28" name="Chart 27">
          <a:extLst>
            <a:ext uri="{FF2B5EF4-FFF2-40B4-BE49-F238E27FC236}">
              <a16:creationId xmlns:a16="http://schemas.microsoft.com/office/drawing/2014/main" id="{74F0BC41-C6F8-4EC6-B2DB-4C4498041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57339</xdr:colOff>
      <xdr:row>21</xdr:row>
      <xdr:rowOff>81935</xdr:rowOff>
    </xdr:from>
    <xdr:to>
      <xdr:col>16</xdr:col>
      <xdr:colOff>133145</xdr:colOff>
      <xdr:row>23</xdr:row>
      <xdr:rowOff>20484</xdr:rowOff>
    </xdr:to>
    <xdr:sp macro="" textlink="">
      <xdr:nvSpPr>
        <xdr:cNvPr id="30" name="TextBox 29">
          <a:extLst>
            <a:ext uri="{FF2B5EF4-FFF2-40B4-BE49-F238E27FC236}">
              <a16:creationId xmlns:a16="http://schemas.microsoft.com/office/drawing/2014/main" id="{5652C5DC-DD0E-647A-3585-8AD29BBB71BA}"/>
            </a:ext>
          </a:extLst>
        </xdr:cNvPr>
        <xdr:cNvSpPr txBox="1"/>
      </xdr:nvSpPr>
      <xdr:spPr>
        <a:xfrm>
          <a:off x="6817016" y="3953387"/>
          <a:ext cx="3148387" cy="307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Interest Rate</a:t>
          </a:r>
          <a:r>
            <a:rPr lang="en-US" sz="1200" b="1" baseline="0"/>
            <a:t> vs Credit score</a:t>
          </a:r>
          <a:endParaRPr lang="en-US" sz="1200" b="1"/>
        </a:p>
      </xdr:txBody>
    </xdr:sp>
    <xdr:clientData/>
  </xdr:twoCellAnchor>
  <xdr:twoCellAnchor>
    <xdr:from>
      <xdr:col>0</xdr:col>
      <xdr:colOff>63500</xdr:colOff>
      <xdr:row>3</xdr:row>
      <xdr:rowOff>165478</xdr:rowOff>
    </xdr:from>
    <xdr:to>
      <xdr:col>2</xdr:col>
      <xdr:colOff>460374</xdr:colOff>
      <xdr:row>5</xdr:row>
      <xdr:rowOff>117853</xdr:rowOff>
    </xdr:to>
    <xdr:sp macro="" textlink="">
      <xdr:nvSpPr>
        <xdr:cNvPr id="39" name="TextBox 38">
          <a:extLst>
            <a:ext uri="{FF2B5EF4-FFF2-40B4-BE49-F238E27FC236}">
              <a16:creationId xmlns:a16="http://schemas.microsoft.com/office/drawing/2014/main" id="{5D6CD078-707D-462C-AA8D-E90EBFB66EE0}"/>
            </a:ext>
          </a:extLst>
        </xdr:cNvPr>
        <xdr:cNvSpPr txBox="1"/>
      </xdr:nvSpPr>
      <xdr:spPr>
        <a:xfrm>
          <a:off x="63500" y="714376"/>
          <a:ext cx="1623823" cy="318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b="1"/>
        </a:p>
      </xdr:txBody>
    </xdr:sp>
    <xdr:clientData/>
  </xdr:twoCellAnchor>
  <xdr:twoCellAnchor editAs="oneCell">
    <xdr:from>
      <xdr:col>0</xdr:col>
      <xdr:colOff>63501</xdr:colOff>
      <xdr:row>4</xdr:row>
      <xdr:rowOff>10762</xdr:rowOff>
    </xdr:from>
    <xdr:to>
      <xdr:col>3</xdr:col>
      <xdr:colOff>473559</xdr:colOff>
      <xdr:row>7</xdr:row>
      <xdr:rowOff>75338</xdr:rowOff>
    </xdr:to>
    <mc:AlternateContent xmlns:mc="http://schemas.openxmlformats.org/markup-compatibility/2006" xmlns:a14="http://schemas.microsoft.com/office/drawing/2010/main">
      <mc:Choice Requires="a14">
        <xdr:graphicFrame macro="">
          <xdr:nvGraphicFramePr>
            <xdr:cNvPr id="41" name="Years 1">
              <a:extLst>
                <a:ext uri="{FF2B5EF4-FFF2-40B4-BE49-F238E27FC236}">
                  <a16:creationId xmlns:a16="http://schemas.microsoft.com/office/drawing/2014/main" id="{5A02192B-BE29-4F73-BA4D-66A52BF0A533}"/>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63501" y="742626"/>
              <a:ext cx="2250482" cy="61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121626</xdr:colOff>
      <xdr:row>8</xdr:row>
      <xdr:rowOff>84498</xdr:rowOff>
    </xdr:from>
    <xdr:to>
      <xdr:col>3</xdr:col>
      <xdr:colOff>443630</xdr:colOff>
      <xdr:row>13</xdr:row>
      <xdr:rowOff>139178</xdr:rowOff>
    </xdr:to>
    <mc:AlternateContent xmlns:mc="http://schemas.openxmlformats.org/markup-compatibility/2006" xmlns:a14="http://schemas.microsoft.com/office/drawing/2010/main">
      <mc:Choice Requires="a14">
        <xdr:graphicFrame macro="">
          <xdr:nvGraphicFramePr>
            <xdr:cNvPr id="43" name="Province 1">
              <a:extLst>
                <a:ext uri="{FF2B5EF4-FFF2-40B4-BE49-F238E27FC236}">
                  <a16:creationId xmlns:a16="http://schemas.microsoft.com/office/drawing/2014/main" id="{5EC8BF90-0108-4F84-9E70-C2E4494E39BA}"/>
                </a:ext>
              </a:extLst>
            </xdr:cNvPr>
            <xdr:cNvGraphicFramePr/>
          </xdr:nvGraphicFramePr>
          <xdr:xfrm>
            <a:off x="0" y="0"/>
            <a:ext cx="0" cy="0"/>
          </xdr:xfrm>
          <a:graphic>
            <a:graphicData uri="http://schemas.microsoft.com/office/drawing/2010/slicer">
              <sle:slicer xmlns:sle="http://schemas.microsoft.com/office/drawing/2010/slicer" name="Province 1"/>
            </a:graphicData>
          </a:graphic>
        </xdr:graphicFrame>
      </mc:Choice>
      <mc:Fallback xmlns="">
        <xdr:sp macro="" textlink="">
          <xdr:nvSpPr>
            <xdr:cNvPr id="0" name=""/>
            <xdr:cNvSpPr>
              <a:spLocks noTextEdit="1"/>
            </xdr:cNvSpPr>
          </xdr:nvSpPr>
          <xdr:spPr>
            <a:xfrm>
              <a:off x="121626" y="1548227"/>
              <a:ext cx="2162428" cy="9695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200684</xdr:colOff>
      <xdr:row>14</xdr:row>
      <xdr:rowOff>144801</xdr:rowOff>
    </xdr:from>
    <xdr:to>
      <xdr:col>3</xdr:col>
      <xdr:colOff>417535</xdr:colOff>
      <xdr:row>20</xdr:row>
      <xdr:rowOff>26095</xdr:rowOff>
    </xdr:to>
    <mc:AlternateContent xmlns:mc="http://schemas.openxmlformats.org/markup-compatibility/2006" xmlns:a14="http://schemas.microsoft.com/office/drawing/2010/main">
      <mc:Choice Requires="a14">
        <xdr:graphicFrame macro="">
          <xdr:nvGraphicFramePr>
            <xdr:cNvPr id="45" name="Loan_Status 1">
              <a:extLst>
                <a:ext uri="{FF2B5EF4-FFF2-40B4-BE49-F238E27FC236}">
                  <a16:creationId xmlns:a16="http://schemas.microsoft.com/office/drawing/2014/main" id="{C83A44ED-5B8A-46B0-8D02-FCA7AFEEDB1C}"/>
                </a:ext>
              </a:extLst>
            </xdr:cNvPr>
            <xdr:cNvGraphicFramePr/>
          </xdr:nvGraphicFramePr>
          <xdr:xfrm>
            <a:off x="0" y="0"/>
            <a:ext cx="0" cy="0"/>
          </xdr:xfrm>
          <a:graphic>
            <a:graphicData uri="http://schemas.microsoft.com/office/drawing/2010/slicer">
              <sle:slicer xmlns:sle="http://schemas.microsoft.com/office/drawing/2010/slicer" name="Loan_Status 1"/>
            </a:graphicData>
          </a:graphic>
        </xdr:graphicFrame>
      </mc:Choice>
      <mc:Fallback xmlns="">
        <xdr:sp macro="" textlink="">
          <xdr:nvSpPr>
            <xdr:cNvPr id="0" name=""/>
            <xdr:cNvSpPr>
              <a:spLocks noTextEdit="1"/>
            </xdr:cNvSpPr>
          </xdr:nvSpPr>
          <xdr:spPr>
            <a:xfrm>
              <a:off x="200684" y="2706326"/>
              <a:ext cx="2057275" cy="9790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115632</xdr:colOff>
      <xdr:row>20</xdr:row>
      <xdr:rowOff>165500</xdr:rowOff>
    </xdr:from>
    <xdr:to>
      <xdr:col>3</xdr:col>
      <xdr:colOff>525517</xdr:colOff>
      <xdr:row>25</xdr:row>
      <xdr:rowOff>175173</xdr:rowOff>
    </xdr:to>
    <mc:AlternateContent xmlns:mc="http://schemas.openxmlformats.org/markup-compatibility/2006" xmlns:a14="http://schemas.microsoft.com/office/drawing/2010/main">
      <mc:Choice Requires="a14">
        <xdr:graphicFrame macro="">
          <xdr:nvGraphicFramePr>
            <xdr:cNvPr id="47" name="Employment_Status 1">
              <a:extLst>
                <a:ext uri="{FF2B5EF4-FFF2-40B4-BE49-F238E27FC236}">
                  <a16:creationId xmlns:a16="http://schemas.microsoft.com/office/drawing/2014/main" id="{32D85143-5942-4FAC-881F-93583AEF3AB9}"/>
                </a:ext>
              </a:extLst>
            </xdr:cNvPr>
            <xdr:cNvGraphicFramePr/>
          </xdr:nvGraphicFramePr>
          <xdr:xfrm>
            <a:off x="0" y="0"/>
            <a:ext cx="0" cy="0"/>
          </xdr:xfrm>
          <a:graphic>
            <a:graphicData uri="http://schemas.microsoft.com/office/drawing/2010/slicer">
              <sle:slicer xmlns:sle="http://schemas.microsoft.com/office/drawing/2010/slicer" name="Employment_Status 1"/>
            </a:graphicData>
          </a:graphic>
        </xdr:graphicFrame>
      </mc:Choice>
      <mc:Fallback xmlns="">
        <xdr:sp macro="" textlink="">
          <xdr:nvSpPr>
            <xdr:cNvPr id="0" name=""/>
            <xdr:cNvSpPr>
              <a:spLocks noTextEdit="1"/>
            </xdr:cNvSpPr>
          </xdr:nvSpPr>
          <xdr:spPr>
            <a:xfrm>
              <a:off x="115632" y="3824822"/>
              <a:ext cx="2250309" cy="924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135966</xdr:colOff>
      <xdr:row>26</xdr:row>
      <xdr:rowOff>173651</xdr:rowOff>
    </xdr:from>
    <xdr:to>
      <xdr:col>3</xdr:col>
      <xdr:colOff>459828</xdr:colOff>
      <xdr:row>32</xdr:row>
      <xdr:rowOff>54740</xdr:rowOff>
    </xdr:to>
    <mc:AlternateContent xmlns:mc="http://schemas.openxmlformats.org/markup-compatibility/2006" xmlns:a14="http://schemas.microsoft.com/office/drawing/2010/main">
      <mc:Choice Requires="a14">
        <xdr:graphicFrame macro="">
          <xdr:nvGraphicFramePr>
            <xdr:cNvPr id="48" name="Loan_Purpose 1">
              <a:extLst>
                <a:ext uri="{FF2B5EF4-FFF2-40B4-BE49-F238E27FC236}">
                  <a16:creationId xmlns:a16="http://schemas.microsoft.com/office/drawing/2014/main" id="{9E3F6F3F-E342-4A2F-BB7A-86FF94850298}"/>
                </a:ext>
              </a:extLst>
            </xdr:cNvPr>
            <xdr:cNvGraphicFramePr/>
          </xdr:nvGraphicFramePr>
          <xdr:xfrm>
            <a:off x="0" y="0"/>
            <a:ext cx="0" cy="0"/>
          </xdr:xfrm>
          <a:graphic>
            <a:graphicData uri="http://schemas.microsoft.com/office/drawing/2010/slicer">
              <sle:slicer xmlns:sle="http://schemas.microsoft.com/office/drawing/2010/slicer" name="Loan_Purpose 1"/>
            </a:graphicData>
          </a:graphic>
        </xdr:graphicFrame>
      </mc:Choice>
      <mc:Fallback xmlns="">
        <xdr:sp macro="" textlink="">
          <xdr:nvSpPr>
            <xdr:cNvPr id="0" name=""/>
            <xdr:cNvSpPr>
              <a:spLocks noTextEdit="1"/>
            </xdr:cNvSpPr>
          </xdr:nvSpPr>
          <xdr:spPr>
            <a:xfrm>
              <a:off x="135966" y="4930770"/>
              <a:ext cx="2164286" cy="9788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0.57339</cdr:x>
      <cdr:y>0.42718</cdr:y>
    </cdr:from>
    <cdr:to>
      <cdr:x>0.76023</cdr:x>
      <cdr:y>0.52497</cdr:y>
    </cdr:to>
    <cdr:sp macro="" textlink="">
      <cdr:nvSpPr>
        <cdr:cNvPr id="2" name="TextBox 1">
          <a:extLst xmlns:a="http://schemas.openxmlformats.org/drawingml/2006/main">
            <a:ext uri="{FF2B5EF4-FFF2-40B4-BE49-F238E27FC236}">
              <a16:creationId xmlns:a16="http://schemas.microsoft.com/office/drawing/2014/main" id="{CBC4357A-470B-4DD9-BA40-4BC2E3E9F174}"/>
            </a:ext>
          </a:extLst>
        </cdr:cNvPr>
        <cdr:cNvSpPr txBox="1"/>
      </cdr:nvSpPr>
      <cdr:spPr>
        <a:xfrm xmlns:a="http://schemas.openxmlformats.org/drawingml/2006/main">
          <a:off x="1994648" y="913655"/>
          <a:ext cx="649942" cy="2091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0.6394</cdr:x>
      <cdr:y>0.40786</cdr:y>
    </cdr:from>
    <cdr:to>
      <cdr:x>0.76276</cdr:x>
      <cdr:y>0.53456</cdr:y>
    </cdr:to>
    <cdr:sp macro="" textlink="">
      <cdr:nvSpPr>
        <cdr:cNvPr id="3" name="TextBox 2">
          <a:extLst xmlns:a="http://schemas.openxmlformats.org/drawingml/2006/main">
            <a:ext uri="{FF2B5EF4-FFF2-40B4-BE49-F238E27FC236}">
              <a16:creationId xmlns:a16="http://schemas.microsoft.com/office/drawing/2014/main" id="{5A5408F0-0C86-8C1B-3175-395D406F7725}"/>
            </a:ext>
          </a:extLst>
        </cdr:cNvPr>
        <cdr:cNvSpPr txBox="1"/>
      </cdr:nvSpPr>
      <cdr:spPr>
        <a:xfrm xmlns:a="http://schemas.openxmlformats.org/drawingml/2006/main">
          <a:off x="2789176" y="855047"/>
          <a:ext cx="538136" cy="26560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kern="1200"/>
            <a:t>Total</a:t>
          </a:r>
          <a:endParaRPr lang="en-US" sz="1100" kern="1200"/>
        </a:p>
      </cdr:txBody>
    </cdr:sp>
  </cdr:relSizeAnchor>
  <cdr:relSizeAnchor xmlns:cdr="http://schemas.openxmlformats.org/drawingml/2006/chartDrawing">
    <cdr:from>
      <cdr:x>0.62459</cdr:x>
      <cdr:y>0.49956</cdr:y>
    </cdr:from>
    <cdr:to>
      <cdr:x>0.7825</cdr:x>
      <cdr:y>0.64751</cdr:y>
    </cdr:to>
    <cdr:sp macro="" textlink="Pivot_KPIs!$B$8">
      <cdr:nvSpPr>
        <cdr:cNvPr id="4" name="TextBox 3">
          <a:extLst xmlns:a="http://schemas.openxmlformats.org/drawingml/2006/main">
            <a:ext uri="{FF2B5EF4-FFF2-40B4-BE49-F238E27FC236}">
              <a16:creationId xmlns:a16="http://schemas.microsoft.com/office/drawing/2014/main" id="{28EFDC38-EABF-6C6F-502A-8362038CFB28}"/>
            </a:ext>
          </a:extLst>
        </cdr:cNvPr>
        <cdr:cNvSpPr txBox="1"/>
      </cdr:nvSpPr>
      <cdr:spPr>
        <a:xfrm xmlns:a="http://schemas.openxmlformats.org/drawingml/2006/main">
          <a:off x="2724600" y="1047278"/>
          <a:ext cx="688813" cy="31015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CE8AE9C0-5407-4024-B218-FCF7A408506B}" type="TxLink">
            <a:rPr lang="en-US" sz="1200" b="1" i="0" u="none" strike="noStrike" kern="1200">
              <a:solidFill>
                <a:srgbClr val="000000"/>
              </a:solidFill>
              <a:latin typeface="Aptos Narrow"/>
            </a:rPr>
            <a:pPr/>
            <a:t>304.3M</a:t>
          </a:fld>
          <a:endParaRPr lang="en-US" sz="1200" b="1" kern="12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taj Gaddi" refreshedDate="46025.966061226849" createdVersion="8" refreshedVersion="8" minRefreshableVersion="3" recordCount="800" xr:uid="{9CFCD8A6-BDE0-4F4C-BB67-5F78E11E6FBA}">
  <cacheSource type="worksheet">
    <worksheetSource name="tbl_loans_clean"/>
  </cacheSource>
  <cacheFields count="17">
    <cacheField name="Loan_ID" numFmtId="0">
      <sharedItems/>
    </cacheField>
    <cacheField name="Province" numFmtId="0">
      <sharedItems count="10">
        <s v="Quebec"/>
        <s v="New Brunswick"/>
        <s v="Alberta"/>
        <s v="British Columbia"/>
        <s v="Ontario"/>
        <s v="Manitoba"/>
        <s v="Nova Scotia"/>
        <s v="Saskatchewan"/>
        <s v="Newfoundland and Labrador"/>
        <s v="Prince Edward Island"/>
      </sharedItems>
    </cacheField>
    <cacheField name="City_Tier" numFmtId="0">
      <sharedItems/>
    </cacheField>
    <cacheField name="Loan_Purpose" numFmtId="0">
      <sharedItems count="7">
        <s v="Mortgage"/>
        <s v="Auto"/>
        <s v="Debt Consolidation"/>
        <s v="Education"/>
        <s v="Personal"/>
        <s v="Business"/>
        <s v="Home Improvement"/>
      </sharedItems>
    </cacheField>
    <cacheField name="Loan_Amount_CAD" numFmtId="0">
      <sharedItems containsSemiMixedTypes="0" containsString="0" containsNumber="1" containsInteger="1" minValue="5159" maxValue="749748"/>
    </cacheField>
    <cacheField name="Interest_Rate_%" numFmtId="0">
      <sharedItems containsSemiMixedTypes="0" containsString="0" containsNumber="1" minValue="3.21" maxValue="14.5" count="566">
        <n v="11.42"/>
        <n v="9.5500000000000007"/>
        <n v="13.9"/>
        <n v="8.81"/>
        <n v="7.5"/>
        <n v="5.04"/>
        <n v="12.08"/>
        <n v="11.5"/>
        <n v="7.54"/>
        <n v="3.48"/>
        <n v="12.68"/>
        <n v="3.33"/>
        <n v="11.15"/>
        <n v="14.16"/>
        <n v="8.15"/>
        <n v="5.86"/>
        <n v="11.17"/>
        <n v="12.43"/>
        <n v="9.3699999999999992"/>
        <n v="14.13"/>
        <n v="3.78"/>
        <n v="8.9"/>
        <n v="11.32"/>
        <n v="12.95"/>
        <n v="5.23"/>
        <n v="12.24"/>
        <n v="9.4499999999999993"/>
        <n v="7.68"/>
        <n v="4.6900000000000004"/>
        <n v="12.98"/>
        <n v="4.9800000000000004"/>
        <n v="6.7"/>
        <n v="6.48"/>
        <n v="13.05"/>
        <n v="10.8"/>
        <n v="12.2"/>
        <n v="6.03"/>
        <n v="10.26"/>
        <n v="9.66"/>
        <n v="12.61"/>
        <n v="13.44"/>
        <n v="3.34"/>
        <n v="10.82"/>
        <n v="3.79"/>
        <n v="9.4"/>
        <n v="6.45"/>
        <n v="6.67"/>
        <n v="7.19"/>
        <n v="10.220000000000001"/>
        <n v="6.97"/>
        <n v="11.48"/>
        <n v="7.77"/>
        <n v="3.97"/>
        <n v="12.06"/>
        <n v="6.43"/>
        <n v="8.09"/>
        <n v="10.95"/>
        <n v="6.96"/>
        <n v="3.84"/>
        <n v="7.43"/>
        <n v="13.87"/>
        <n v="10.45"/>
        <n v="10.79"/>
        <n v="10.34"/>
        <n v="5.45"/>
        <n v="7.93"/>
        <n v="11.69"/>
        <n v="4.3499999999999996"/>
        <n v="6.34"/>
        <n v="6.32"/>
        <n v="8.08"/>
        <n v="14.28"/>
        <n v="3.96"/>
        <n v="9.06"/>
        <n v="14.17"/>
        <n v="4.4800000000000004"/>
        <n v="7.76"/>
        <n v="11.54"/>
        <n v="11.16"/>
        <n v="7.98"/>
        <n v="7.12"/>
        <n v="7.69"/>
        <n v="6.19"/>
        <n v="5.52"/>
        <n v="8.66"/>
        <n v="6.23"/>
        <n v="10.62"/>
        <n v="14.14"/>
        <n v="10.02"/>
        <n v="4.07"/>
        <n v="4.05"/>
        <n v="13.95"/>
        <n v="6.56"/>
        <n v="4.24"/>
        <n v="9.9700000000000006"/>
        <n v="10.25"/>
        <n v="10.53"/>
        <n v="6.22"/>
        <n v="3.37"/>
        <n v="14.1"/>
        <n v="6.04"/>
        <n v="10.84"/>
        <n v="11.18"/>
        <n v="10.09"/>
        <n v="6.74"/>
        <n v="6.26"/>
        <n v="9.9499999999999993"/>
        <n v="12.99"/>
        <n v="4.4000000000000004"/>
        <n v="4.95"/>
        <n v="13.88"/>
        <n v="11.52"/>
        <n v="13.18"/>
        <n v="5.49"/>
        <n v="9.84"/>
        <n v="11.12"/>
        <n v="10.89"/>
        <n v="7.81"/>
        <n v="9.7899999999999991"/>
        <n v="6.06"/>
        <n v="8.2899999999999991"/>
        <n v="14.02"/>
        <n v="7.71"/>
        <n v="12.69"/>
        <n v="5.33"/>
        <n v="14.24"/>
        <n v="3.29"/>
        <n v="8.1"/>
        <n v="4.25"/>
        <n v="11.66"/>
        <n v="13.53"/>
        <n v="6.12"/>
        <n v="8.11"/>
        <n v="11.37"/>
        <n v="3.3"/>
        <n v="9.86"/>
        <n v="10.130000000000001"/>
        <n v="10.41"/>
        <n v="5.93"/>
        <n v="11.27"/>
        <n v="4.2300000000000004"/>
        <n v="13.12"/>
        <n v="11.55"/>
        <n v="3.36"/>
        <n v="6.01"/>
        <n v="5.62"/>
        <n v="6"/>
        <n v="3.91"/>
        <n v="8.39"/>
        <n v="10.06"/>
        <n v="4.12"/>
        <n v="12.67"/>
        <n v="12.3"/>
        <n v="12.5"/>
        <n v="13.74"/>
        <n v="9.35"/>
        <n v="5.46"/>
        <n v="10.17"/>
        <n v="11.59"/>
        <n v="9.09"/>
        <n v="7.39"/>
        <n v="13.6"/>
        <n v="9.8000000000000007"/>
        <n v="9.2799999999999994"/>
        <n v="6.24"/>
        <n v="7.36"/>
        <n v="13.32"/>
        <n v="10.73"/>
        <n v="12.1"/>
        <n v="8.33"/>
        <n v="10.32"/>
        <n v="8.0299999999999994"/>
        <n v="8.1999999999999993"/>
        <n v="10.54"/>
        <n v="13.78"/>
        <n v="3.92"/>
        <n v="12.52"/>
        <n v="6.5"/>
        <n v="8.2200000000000006"/>
        <n v="3.45"/>
        <n v="6.6"/>
        <n v="8.8800000000000008"/>
        <n v="3.83"/>
        <n v="8.75"/>
        <n v="13.68"/>
        <n v="4.3899999999999997"/>
        <n v="11.84"/>
        <n v="7.83"/>
        <n v="10.6"/>
        <n v="6.14"/>
        <n v="5"/>
        <n v="5.01"/>
        <n v="4"/>
        <n v="5.3"/>
        <n v="10.71"/>
        <n v="13.16"/>
        <n v="12.4"/>
        <n v="10.94"/>
        <n v="4.45"/>
        <n v="6.47"/>
        <n v="6.02"/>
        <n v="9.02"/>
        <n v="9.25"/>
        <n v="7.23"/>
        <n v="7.2"/>
        <n v="12.56"/>
        <n v="12.12"/>
        <n v="6.68"/>
        <n v="13.97"/>
        <n v="6.89"/>
        <n v="7.21"/>
        <n v="8.91"/>
        <n v="13.83"/>
        <n v="13.1"/>
        <n v="4.3600000000000003"/>
        <n v="7.64"/>
        <n v="8.89"/>
        <n v="5.39"/>
        <n v="12.9"/>
        <n v="10.85"/>
        <n v="8.16"/>
        <n v="10.1"/>
        <n v="10.81"/>
        <n v="11.04"/>
        <n v="5.79"/>
        <n v="4.53"/>
        <n v="5.07"/>
        <n v="3.22"/>
        <n v="5.0199999999999996"/>
        <n v="4.1399999999999997"/>
        <n v="3.42"/>
        <n v="13.27"/>
        <n v="5.71"/>
        <n v="9.07"/>
        <n v="10.07"/>
        <n v="5.97"/>
        <n v="3.85"/>
        <n v="7.62"/>
        <n v="5.85"/>
        <n v="5.68"/>
        <n v="14.05"/>
        <n v="10.16"/>
        <n v="9.49"/>
        <n v="7.9"/>
        <n v="8.0500000000000007"/>
        <n v="9.31"/>
        <n v="11.07"/>
        <n v="11.13"/>
        <n v="5.14"/>
        <n v="8.85"/>
        <n v="7.86"/>
        <n v="13.04"/>
        <n v="9.2200000000000006"/>
        <n v="4.5"/>
        <n v="10.039999999999999"/>
        <n v="4.5199999999999996"/>
        <n v="7.01"/>
        <n v="4.8099999999999996"/>
        <n v="11.02"/>
        <n v="5.53"/>
        <n v="7.63"/>
        <n v="5.51"/>
        <n v="8.94"/>
        <n v="7.94"/>
        <n v="3.4"/>
        <n v="12.16"/>
        <n v="3.98"/>
        <n v="8.56"/>
        <n v="9.5399999999999991"/>
        <n v="10.3"/>
        <n v="10.98"/>
        <n v="3.31"/>
        <n v="12.65"/>
        <n v="12.48"/>
        <n v="12.73"/>
        <n v="8.68"/>
        <n v="12.14"/>
        <n v="8.3000000000000007"/>
        <n v="5.27"/>
        <n v="12.86"/>
        <n v="13.17"/>
        <n v="8.4700000000000006"/>
        <n v="4.0599999999999996"/>
        <n v="7.58"/>
        <n v="12.28"/>
        <n v="13.39"/>
        <n v="5.5"/>
        <n v="13.11"/>
        <n v="7.6"/>
        <n v="9.32"/>
        <n v="3.95"/>
        <n v="4.04"/>
        <n v="7.44"/>
        <n v="14.47"/>
        <n v="9.52"/>
        <n v="6.83"/>
        <n v="5.69"/>
        <n v="7.16"/>
        <n v="7.41"/>
        <n v="7.38"/>
        <n v="8.4499999999999993"/>
        <n v="11.21"/>
        <n v="5.66"/>
        <n v="10.68"/>
        <n v="8.67"/>
        <n v="3.26"/>
        <n v="12.29"/>
        <n v="11.93"/>
        <n v="11.86"/>
        <n v="12.04"/>
        <n v="12.27"/>
        <n v="9.0500000000000007"/>
        <n v="4.79"/>
        <n v="10.78"/>
        <n v="10.210000000000001"/>
        <n v="5.12"/>
        <n v="5.4"/>
        <n v="13.26"/>
        <n v="11.67"/>
        <n v="13.46"/>
        <n v="11.77"/>
        <n v="10.59"/>
        <n v="13.25"/>
        <n v="9.74"/>
        <n v="10.35"/>
        <n v="4.97"/>
        <n v="11.3"/>
        <n v="6.75"/>
        <n v="5.63"/>
        <n v="8"/>
        <n v="8.93"/>
        <n v="5.32"/>
        <n v="7.53"/>
        <n v="12.49"/>
        <n v="10.65"/>
        <n v="6.27"/>
        <n v="6.18"/>
        <n v="13.81"/>
        <n v="10.39"/>
        <n v="6.87"/>
        <n v="6.25"/>
        <n v="5.36"/>
        <n v="11.05"/>
        <n v="5.67"/>
        <n v="9.93"/>
        <n v="12.41"/>
        <n v="11.99"/>
        <n v="11.8"/>
        <n v="4.2"/>
        <n v="11.1"/>
        <n v="3.55"/>
        <n v="6.13"/>
        <n v="3.58"/>
        <n v="13.13"/>
        <n v="5.95"/>
        <n v="9.5"/>
        <n v="3.64"/>
        <n v="10.74"/>
        <n v="6.85"/>
        <n v="13.35"/>
        <n v="13.24"/>
        <n v="6.88"/>
        <n v="13.38"/>
        <n v="14.46"/>
        <n v="12.53"/>
        <n v="12.75"/>
        <n v="9.7200000000000006"/>
        <n v="4.2699999999999996"/>
        <n v="14.49"/>
        <n v="11.65"/>
        <n v="12.32"/>
        <n v="3.66"/>
        <n v="7.85"/>
        <n v="4.67"/>
        <n v="7.27"/>
        <n v="9.6"/>
        <n v="6.73"/>
        <n v="5.82"/>
        <n v="11.81"/>
        <n v="12.66"/>
        <n v="10.199999999999999"/>
        <n v="9.57"/>
        <n v="12.97"/>
        <n v="9.83"/>
        <n v="9.76"/>
        <n v="14.39"/>
        <n v="11.75"/>
        <n v="11.19"/>
        <n v="9.94"/>
        <n v="13.69"/>
        <n v="13.7"/>
        <n v="7.06"/>
        <n v="9.16"/>
        <n v="5.59"/>
        <n v="14.45"/>
        <n v="14.29"/>
        <n v="11.28"/>
        <n v="9.9"/>
        <n v="3.8"/>
        <n v="8.34"/>
        <n v="10.83"/>
        <n v="10.86"/>
        <n v="7.42"/>
        <n v="13.84"/>
        <n v="5.09"/>
        <n v="11.01"/>
        <n v="11.08"/>
        <n v="6.31"/>
        <n v="10.75"/>
        <n v="12"/>
        <n v="11.11"/>
        <n v="14.06"/>
        <n v="9.26"/>
        <n v="8.7200000000000006"/>
        <n v="7.74"/>
        <n v="4.9400000000000004"/>
        <n v="9.67"/>
        <n v="6.33"/>
        <n v="13.61"/>
        <n v="3.56"/>
        <n v="4.16"/>
        <n v="13.15"/>
        <n v="13.21"/>
        <n v="5.42"/>
        <n v="11.53"/>
        <n v="6.44"/>
        <n v="3.54"/>
        <n v="13.34"/>
        <n v="10.24"/>
        <n v="14.2"/>
        <n v="12.78"/>
        <n v="6.99"/>
        <n v="14.22"/>
        <n v="12.83"/>
        <n v="13.8"/>
        <n v="7.56"/>
        <n v="5.58"/>
        <n v="8.5"/>
        <n v="4.34"/>
        <n v="4.8600000000000003"/>
        <n v="11.78"/>
        <n v="8.17"/>
        <n v="6.35"/>
        <n v="12.22"/>
        <n v="6.58"/>
        <n v="5.83"/>
        <n v="6.1"/>
        <n v="7.22"/>
        <n v="12.34"/>
        <n v="7.07"/>
        <n v="4.13"/>
        <n v="6.62"/>
        <n v="4.75"/>
        <n v="4.83"/>
        <n v="6.29"/>
        <n v="8.7100000000000009"/>
        <n v="6.66"/>
        <n v="8.3800000000000008"/>
        <n v="11.39"/>
        <n v="9.69"/>
        <n v="11.98"/>
        <n v="12.94"/>
        <n v="14.38"/>
        <n v="7.4"/>
        <n v="5.41"/>
        <n v="8.73"/>
        <n v="11.58"/>
        <n v="8.77"/>
        <n v="7.28"/>
        <n v="12.92"/>
        <n v="7.8"/>
        <n v="6.91"/>
        <n v="11.82"/>
        <n v="4.62"/>
        <n v="5.18"/>
        <n v="9.6199999999999992"/>
        <n v="9.75"/>
        <n v="10.49"/>
        <n v="5.8"/>
        <n v="4.8"/>
        <n v="9.65"/>
        <n v="5.29"/>
        <n v="4.82"/>
        <n v="12.21"/>
        <n v="7.35"/>
        <n v="4.18"/>
        <n v="12.19"/>
        <n v="13.08"/>
        <n v="6.17"/>
        <n v="3.21"/>
        <n v="10.29"/>
        <n v="11.68"/>
        <n v="4.92"/>
        <n v="7.17"/>
        <n v="4.26"/>
        <n v="8.69"/>
        <n v="3.65"/>
        <n v="6.49"/>
        <n v="5.55"/>
        <n v="5.89"/>
        <n v="13.47"/>
        <n v="8.49"/>
        <n v="11.79"/>
        <n v="8.06"/>
        <n v="14.5"/>
        <n v="11.89"/>
        <n v="7.7"/>
        <n v="12.55"/>
        <n v="5.13"/>
        <n v="7.05"/>
        <n v="8.9700000000000006"/>
        <n v="10.15"/>
        <n v="13.49"/>
        <n v="8.9600000000000009"/>
        <n v="8.86"/>
        <n v="3.77"/>
        <n v="3.59"/>
        <n v="9.43"/>
        <n v="8.27"/>
        <n v="5.88"/>
        <n v="3.76"/>
        <n v="4.46"/>
        <n v="6.38"/>
        <n v="5.16"/>
        <n v="7.49"/>
        <n v="12.26"/>
        <n v="9.59"/>
        <n v="12.54"/>
        <n v="9.1300000000000008"/>
        <n v="11.96"/>
        <n v="7.1"/>
        <n v="13.75"/>
        <n v="6.2"/>
        <n v="10.11"/>
        <n v="10.87"/>
        <n v="6.79"/>
        <n v="13.2"/>
        <n v="14.09"/>
        <n v="3.32"/>
        <n v="11.29"/>
        <n v="6.72"/>
        <n v="7.04"/>
        <n v="4.09"/>
        <n v="6.15"/>
        <n v="7.08"/>
        <n v="12.63"/>
        <n v="13.77"/>
        <n v="3.9"/>
        <n v="4.9000000000000004"/>
        <n v="8.25"/>
        <n v="8.8699999999999992"/>
        <n v="5.99"/>
        <n v="8.52"/>
        <n v="11.72"/>
        <n v="9.73"/>
        <n v="13.42"/>
        <n v="12.44"/>
        <n v="3.28"/>
        <n v="5.6"/>
        <n v="10.7"/>
        <n v="7.75"/>
        <n v="5.35"/>
        <n v="12.59"/>
        <n v="4.55"/>
        <n v="9.2100000000000009"/>
        <n v="6.59"/>
      </sharedItems>
    </cacheField>
    <cacheField name="Loan_Term_Months" numFmtId="0">
      <sharedItems containsSemiMixedTypes="0" containsString="0" containsNumber="1" containsInteger="1" minValue="12" maxValue="300"/>
    </cacheField>
    <cacheField name="Annual_Income_CAD" numFmtId="0">
      <sharedItems containsSemiMixedTypes="0" containsString="0" containsNumber="1" containsInteger="1" minValue="28066" maxValue="219830"/>
    </cacheField>
    <cacheField name="Credit_Score" numFmtId="0">
      <sharedItems containsSemiMixedTypes="0" containsString="0" containsNumber="1" containsInteger="1" minValue="580" maxValue="849"/>
    </cacheField>
    <cacheField name="Employment_Status" numFmtId="0">
      <sharedItems count="4">
        <s v="Salaried"/>
        <s v="Self-Employed"/>
        <s v="Unemployed"/>
        <s v="Contract"/>
      </sharedItems>
    </cacheField>
    <cacheField name="Years_Employed" numFmtId="0">
      <sharedItems containsSemiMixedTypes="0" containsString="0" containsNumber="1" minValue="0" maxValue="25"/>
    </cacheField>
    <cacheField name="Debt_to_Income_%" numFmtId="0">
      <sharedItems containsSemiMixedTypes="0" containsString="0" containsNumber="1" minValue="8" maxValue="48"/>
    </cacheField>
    <cacheField name="Loan_Status" numFmtId="0">
      <sharedItems count="4">
        <s v="Fully Paid"/>
        <s v="Current"/>
        <s v="Charged Off"/>
        <s v="Delinquent"/>
      </sharedItems>
    </cacheField>
    <cacheField name="Funding_Date" numFmtId="14">
      <sharedItems containsSemiMixedTypes="0" containsNonDate="0" containsDate="1" containsString="0" containsMixedTypes="1" minDate="2021-01-03T00:00:00" maxDate="1900-01-03T05:51:04" count="1244">
        <d v="2023-12-04T00:00:00"/>
        <d v="2024-01-07T00:00:00"/>
        <d v="2024-06-03T00:00:00"/>
        <d v="2021-06-11T00:00:00"/>
        <d v="2021-09-10T00:00:00"/>
        <d v="2021-05-12T00:00:00"/>
        <d v="2022-04-19T00:00:00"/>
        <d v="2024-02-07T00:00:00"/>
        <d v="2022-12-07T00:00:00"/>
        <d v="2023-11-25T00:00:00"/>
        <d v="2021-10-02T00:00:00"/>
        <d v="2021-07-06T00:00:00"/>
        <d v="2023-08-07T00:00:00"/>
        <d v="2021-08-31T00:00:00"/>
        <d v="2021-09-21T00:00:00"/>
        <d v="2022-06-06T00:00:00"/>
        <d v="2023-08-21T00:00:00"/>
        <d v="2023-02-22T00:00:00"/>
        <d v="2024-01-16T00:00:00"/>
        <d v="2022-06-19T00:00:00"/>
        <d v="2021-07-29T00:00:00"/>
        <d v="2021-02-15T00:00:00"/>
        <d v="2021-01-26T00:00:00"/>
        <d v="2024-07-13T00:00:00"/>
        <d v="2021-06-24T00:00:00"/>
        <d v="2024-08-27T00:00:00"/>
        <d v="2021-11-18T00:00:00"/>
        <d v="2024-03-04T00:00:00"/>
        <d v="2021-02-24T00:00:00"/>
        <d v="2024-03-25T00:00:00"/>
        <d v="2022-10-30T00:00:00"/>
        <d v="2021-05-27T00:00:00"/>
        <d v="2022-08-22T00:00:00"/>
        <d v="2021-01-20T00:00:00"/>
        <d v="2024-07-16T00:00:00"/>
        <d v="2021-11-29T00:00:00"/>
        <d v="2023-06-26T00:00:00"/>
        <d v="2023-08-02T00:00:00"/>
        <d v="2023-06-30T00:00:00"/>
        <d v="2022-02-05T00:00:00"/>
        <d v="2023-08-08T00:00:00"/>
        <d v="2024-08-22T00:00:00"/>
        <d v="2021-01-28T00:00:00"/>
        <d v="2022-04-12T00:00:00"/>
        <d v="2024-07-07T00:00:00"/>
        <d v="2023-09-09T00:00:00"/>
        <d v="2021-04-11T00:00:00"/>
        <d v="2022-07-05T00:00:00"/>
        <d v="2023-03-13T00:00:00"/>
        <d v="2021-12-19T00:00:00"/>
        <d v="2024-08-16T00:00:00"/>
        <d v="2021-10-23T00:00:00"/>
        <d v="2023-06-27T00:00:00"/>
        <d v="2024-02-28T00:00:00"/>
        <d v="2023-10-16T00:00:00"/>
        <d v="2024-01-03T00:00:00"/>
        <d v="2024-09-27T00:00:00"/>
        <d v="2024-01-19T00:00:00"/>
        <d v="2022-03-31T00:00:00"/>
        <d v="2022-12-13T00:00:00"/>
        <d v="2023-09-07T00:00:00"/>
        <d v="2024-09-17T00:00:00"/>
        <d v="2023-01-09T00:00:00"/>
        <d v="2023-09-04T00:00:00"/>
        <d v="2024-10-03T00:00:00"/>
        <d v="2021-08-21T00:00:00"/>
        <d v="2023-10-21T00:00:00"/>
        <d v="2021-04-12T00:00:00"/>
        <d v="2023-08-11T00:00:00"/>
        <d v="2022-04-26T00:00:00"/>
        <d v="2024-05-22T00:00:00"/>
        <d v="2021-04-18T00:00:00"/>
        <d v="2024-04-03T00:00:00"/>
        <d v="2023-08-31T00:00:00"/>
        <d v="2022-12-05T00:00:00"/>
        <d v="2021-12-01T00:00:00"/>
        <d v="2021-03-27T00:00:00"/>
        <d v="2023-01-04T00:00:00"/>
        <d v="2023-05-25T00:00:00"/>
        <d v="2024-12-18T00:00:00"/>
        <d v="2021-12-30T00:00:00"/>
        <d v="2021-03-01T00:00:00"/>
        <d v="2024-06-27T00:00:00"/>
        <d v="2022-07-14T00:00:00"/>
        <d v="2021-04-27T00:00:00"/>
        <d v="2023-05-24T00:00:00"/>
        <d v="2023-07-04T00:00:00"/>
        <d v="2023-08-26T00:00:00"/>
        <d v="2023-09-26T00:00:00"/>
        <d v="2021-02-13T00:00:00"/>
        <d v="2022-05-24T00:00:00"/>
        <d v="2024-10-23T00:00:00"/>
        <d v="2024-08-08T00:00:00"/>
        <d v="2023-04-29T00:00:00"/>
        <d v="2023-07-06T00:00:00"/>
        <d v="2023-06-17T00:00:00"/>
        <d v="2023-03-10T00:00:00"/>
        <d v="2023-05-26T00:00:00"/>
        <d v="2021-10-13T00:00:00"/>
        <d v="2024-05-12T00:00:00"/>
        <d v="2022-11-15T00:00:00"/>
        <d v="2023-03-30T00:00:00"/>
        <d v="2021-05-01T00:00:00"/>
        <d v="2023-08-03T00:00:00"/>
        <d v="2023-10-15T00:00:00"/>
        <d v="2024-04-26T00:00:00"/>
        <d v="2021-01-13T00:00:00"/>
        <d v="2022-08-26T00:00:00"/>
        <d v="2021-07-19T00:00:00"/>
        <d v="2022-08-09T00:00:00"/>
        <d v="2022-03-24T00:00:00"/>
        <d v="2023-04-21T00:00:00"/>
        <d v="2023-12-31T00:00:00"/>
        <d v="2022-08-13T00:00:00"/>
        <d v="2023-06-08T00:00:00"/>
        <d v="2021-02-12T00:00:00"/>
        <d v="2022-06-04T00:00:00"/>
        <d v="2023-11-03T00:00:00"/>
        <d v="2022-12-26T00:00:00"/>
        <d v="2022-09-15T00:00:00"/>
        <d v="2023-09-15T00:00:00"/>
        <d v="2023-03-14T00:00:00"/>
        <d v="2021-10-29T00:00:00"/>
        <d v="2022-06-11T00:00:00"/>
        <d v="2024-02-13T00:00:00"/>
        <d v="2022-04-05T00:00:00"/>
        <d v="2023-04-12T00:00:00"/>
        <d v="2022-05-20T00:00:00"/>
        <d v="2024-08-24T00:00:00"/>
        <d v="2023-07-21T00:00:00"/>
        <d v="2021-11-21T00:00:00"/>
        <d v="2022-08-02T00:00:00"/>
        <d v="2023-01-31T00:00:00"/>
        <d v="2024-04-13T00:00:00"/>
        <d v="2023-05-01T00:00:00"/>
        <d v="2024-04-10T00:00:00"/>
        <d v="2023-08-18T00:00:00"/>
        <d v="2022-05-17T00:00:00"/>
        <d v="2021-11-30T00:00:00"/>
        <d v="2021-10-11T00:00:00"/>
        <d v="2022-04-20T00:00:00"/>
        <d v="2023-12-14T00:00:00"/>
        <d v="2024-12-14T00:00:00"/>
        <d v="2022-09-24T00:00:00"/>
        <d v="2022-12-04T00:00:00"/>
        <d v="2022-02-13T00:00:00"/>
        <d v="2024-08-20T00:00:00"/>
        <d v="2022-07-13T00:00:00"/>
        <d v="2021-08-10T00:00:00"/>
        <d v="2021-06-07T00:00:00"/>
        <d v="2021-12-14T00:00:00"/>
        <d v="2024-03-28T00:00:00"/>
        <d v="2023-07-11T00:00:00"/>
        <d v="2024-06-12T00:00:00"/>
        <d v="2022-10-24T00:00:00"/>
        <d v="2022-02-09T00:00:00"/>
        <d v="2024-07-04T00:00:00"/>
        <d v="2022-11-08T00:00:00"/>
        <d v="2022-08-12T00:00:00"/>
        <d v="2022-07-12T00:00:00"/>
        <d v="2023-06-24T00:00:00"/>
        <d v="2023-12-07T00:00:00"/>
        <d v="2024-05-21T00:00:00"/>
        <d v="2022-04-24T00:00:00"/>
        <d v="2022-05-02T00:00:00"/>
        <d v="2022-07-20T00:00:00"/>
        <d v="2022-06-08T00:00:00"/>
        <d v="2023-10-27T00:00:00"/>
        <d v="2023-04-01T00:00:00"/>
        <d v="2024-03-13T00:00:00"/>
        <d v="2023-05-08T00:00:00"/>
        <d v="2024-07-08T00:00:00"/>
        <d v="2022-08-08T00:00:00"/>
        <d v="2022-11-17T00:00:00"/>
        <d v="2021-08-20T00:00:00"/>
        <d v="2021-09-27T00:00:00"/>
        <d v="2023-07-29T00:00:00"/>
        <d v="2024-05-30T00:00:00"/>
        <d v="2021-02-21T00:00:00"/>
        <d v="2021-04-26T00:00:00"/>
        <d v="2022-06-22T00:00:00"/>
        <d v="2022-06-25T00:00:00"/>
        <d v="2023-11-09T00:00:00"/>
        <d v="2023-03-26T00:00:00"/>
        <d v="2024-11-16T00:00:00"/>
        <d v="2023-03-02T00:00:00"/>
        <d v="2022-09-10T00:00:00"/>
        <d v="2022-02-23T00:00:00"/>
        <d v="2021-11-05T00:00:00"/>
        <d v="2023-05-14T00:00:00"/>
        <d v="2021-07-05T00:00:00"/>
        <d v="2021-09-18T00:00:00"/>
        <d v="2024-07-20T00:00:00"/>
        <d v="2021-06-09T00:00:00"/>
        <d v="2023-05-20T00:00:00"/>
        <d v="2023-02-01T00:00:00"/>
        <d v="2021-08-12T00:00:00"/>
        <d v="2024-07-03T00:00:00"/>
        <d v="2021-06-29T00:00:00"/>
        <d v="2024-05-18T00:00:00"/>
        <d v="2021-02-27T00:00:00"/>
        <d v="2024-01-22T00:00:00"/>
        <d v="2024-05-29T00:00:00"/>
        <d v="2022-12-24T00:00:00"/>
        <d v="2024-06-09T00:00:00"/>
        <d v="2024-10-19T00:00:00"/>
        <d v="2022-09-07T00:00:00"/>
        <d v="2022-07-16T00:00:00"/>
        <d v="2022-01-09T00:00:00"/>
        <d v="2022-09-14T00:00:00"/>
        <d v="2021-03-29T00:00:00"/>
        <d v="2023-11-10T00:00:00"/>
        <d v="2023-10-11T00:00:00"/>
        <d v="2021-01-14T00:00:00"/>
        <d v="2021-05-13T00:00:00"/>
        <d v="2023-11-24T00:00:00"/>
        <d v="2023-06-11T00:00:00"/>
        <d v="2024-05-16T00:00:00"/>
        <d v="2024-05-07T00:00:00"/>
        <d v="2022-08-15T00:00:00"/>
        <d v="2022-08-06T00:00:00"/>
        <d v="2024-03-24T00:00:00"/>
        <d v="2021-10-16T00:00:00"/>
        <d v="2023-10-10T00:00:00"/>
        <d v="2023-05-29T00:00:00"/>
        <d v="2021-01-07T00:00:00"/>
        <d v="2024-03-29T00:00:00"/>
        <d v="2021-08-28T00:00:00"/>
        <d v="2024-12-17T00:00:00"/>
        <d v="2022-06-20T00:00:00"/>
        <d v="2021-03-11T00:00:00"/>
        <d v="2021-08-04T00:00:00"/>
        <d v="2024-02-02T00:00:00"/>
        <d v="2023-03-17T00:00:00"/>
        <d v="2021-11-26T00:00:00"/>
        <d v="2023-04-28T00:00:00"/>
        <d v="2024-05-11T00:00:00"/>
        <d v="2024-08-04T00:00:00"/>
        <d v="2021-02-14T00:00:00"/>
        <d v="2023-04-09T00:00:00"/>
        <d v="2021-07-17T00:00:00"/>
        <d v="2024-05-24T00:00:00"/>
        <d v="2024-08-25T00:00:00"/>
        <d v="2023-06-15T00:00:00"/>
        <d v="2024-12-29T00:00:00"/>
        <d v="2021-11-28T00:00:00"/>
        <d v="2022-11-27T00:00:00"/>
        <d v="2021-01-27T00:00:00"/>
        <d v="2024-04-04T00:00:00"/>
        <d v="2021-11-14T00:00:00"/>
        <d v="2024-07-21T00:00:00"/>
        <d v="2024-11-07T00:00:00"/>
        <d v="2021-12-31T00:00:00"/>
        <d v="2024-02-01T00:00:00"/>
        <d v="2022-01-08T00:00:00"/>
        <d v="2021-09-02T00:00:00"/>
        <d v="2024-04-07T00:00:00"/>
        <d v="2024-12-12T00:00:00"/>
        <d v="2024-10-11T00:00:00"/>
        <d v="2022-04-23T00:00:00"/>
        <d v="2021-05-05T00:00:00"/>
        <d v="2022-06-21T00:00:00"/>
        <d v="2024-11-26T00:00:00"/>
        <d v="2022-06-15T00:00:00"/>
        <d v="2023-02-25T00:00:00"/>
        <d v="2021-09-11T00:00:00"/>
        <d v="2023-11-22T00:00:00"/>
        <d v="2022-10-23T00:00:00"/>
        <d v="2023-11-27T00:00:00"/>
        <d v="2024-04-21T00:00:00"/>
        <d v="2024-07-12T00:00:00"/>
        <d v="2024-02-17T00:00:00"/>
        <d v="2023-07-22T00:00:00"/>
        <d v="2023-01-15T00:00:00"/>
        <d v="2023-08-25T00:00:00"/>
        <d v="2023-02-02T00:00:00"/>
        <d v="2023-03-05T00:00:00"/>
        <d v="2023-01-14T00:00:00"/>
        <d v="2023-12-06T00:00:00"/>
        <d v="2022-06-10T00:00:00"/>
        <d v="2022-08-20T00:00:00"/>
        <d v="2023-04-20T00:00:00"/>
        <d v="2021-01-03T00:00:00"/>
        <d v="2023-11-18T00:00:00"/>
        <d v="2024-11-05T00:00:00"/>
        <d v="2021-06-06T00:00:00"/>
        <d v="2023-05-05T00:00:00"/>
        <d v="2022-05-26T00:00:00"/>
        <d v="2024-09-18T00:00:00"/>
        <d v="2022-11-18T00:00:00"/>
        <d v="2024-02-12T00:00:00"/>
        <d v="2024-11-13T00:00:00"/>
        <d v="2022-07-25T00:00:00"/>
        <d v="2022-12-16T00:00:00"/>
        <d v="2024-08-31T00:00:00"/>
        <d v="2021-08-27T00:00:00"/>
        <d v="2024-06-11T00:00:00"/>
        <d v="2021-10-30T00:00:00"/>
        <d v="2022-08-30T00:00:00"/>
        <d v="2023-09-18T00:00:00"/>
        <d v="2021-04-23T00:00:00"/>
        <d v="2021-12-28T00:00:00"/>
        <d v="2023-03-12T00:00:00"/>
        <d v="2021-04-07T00:00:00"/>
        <d v="2021-01-16T00:00:00"/>
        <d v="2022-07-10T00:00:00"/>
        <d v="2022-01-11T00:00:00"/>
        <d v="2023-01-12T00:00:00"/>
        <d v="2022-01-25T00:00:00"/>
        <d v="2022-09-12T00:00:00"/>
        <d v="2024-05-25T00:00:00"/>
        <d v="2024-11-23T00:00:00"/>
        <d v="2023-04-04T00:00:00"/>
        <d v="2021-11-16T00:00:00"/>
        <d v="2021-07-15T00:00:00"/>
        <d v="2022-02-22T00:00:00"/>
        <d v="2022-07-22T00:00:00"/>
        <d v="2022-06-28T00:00:00"/>
        <d v="2021-08-19T00:00:00"/>
        <d v="2023-06-03T00:00:00"/>
        <d v="2022-06-05T00:00:00"/>
        <d v="2024-05-08T00:00:00"/>
        <d v="2023-04-26T00:00:00"/>
        <d v="2022-11-04T00:00:00"/>
        <d v="2021-01-21T00:00:00"/>
        <d v="2022-08-11T00:00:00"/>
        <d v="2024-12-28T00:00:00"/>
        <d v="2022-01-06T00:00:00"/>
        <d v="2021-03-19T00:00:00"/>
        <d v="2024-08-01T00:00:00"/>
        <d v="2022-10-10T00:00:00"/>
        <d v="2021-05-20T00:00:00"/>
        <d v="2022-07-07T00:00:00"/>
        <d v="2023-09-25T00:00:00"/>
        <d v="2021-10-09T00:00:00"/>
        <d v="2024-07-05T00:00:00"/>
        <d v="2024-10-15T00:00:00"/>
        <d v="2022-03-16T00:00:00"/>
        <d v="2024-03-03T00:00:00"/>
        <d v="2023-01-16T00:00:00"/>
        <d v="2021-04-14T00:00:00"/>
        <d v="2023-02-05T00:00:00"/>
        <d v="2021-04-05T00:00:00"/>
        <d v="2022-12-30T00:00:00"/>
        <d v="2022-04-25T00:00:00"/>
        <d v="2023-02-19T00:00:00"/>
        <d v="2024-06-18T00:00:00"/>
        <d v="2024-03-16T00:00:00"/>
        <d v="2022-08-24T00:00:00"/>
        <d v="2021-10-20T00:00:00"/>
        <d v="2021-01-25T00:00:00"/>
        <d v="2024-07-19T00:00:00"/>
        <d v="2023-07-28T00:00:00"/>
        <d v="2022-10-16T00:00:00"/>
        <d v="2023-09-12T00:00:00"/>
        <d v="2022-09-30T00:00:00"/>
        <d v="2022-05-06T00:00:00"/>
        <d v="2024-03-10T00:00:00"/>
        <d v="2022-07-29T00:00:00"/>
        <d v="2021-10-21T00:00:00"/>
        <d v="2024-07-01T00:00:00"/>
        <d v="2024-04-18T00:00:00"/>
        <d v="2021-02-09T00:00:00"/>
        <d v="2023-02-15T00:00:00"/>
        <d v="2022-06-30T00:00:00"/>
        <d v="2021-08-24T00:00:00"/>
        <d v="2022-04-08T00:00:00"/>
        <d v="2024-06-05T00:00:00"/>
        <d v="2022-04-28T00:00:00"/>
        <d v="2022-03-06T00:00:00"/>
        <d v="2023-11-12T00:00:00"/>
        <d v="2021-12-09T00:00:00"/>
        <d v="2023-11-30T00:00:00"/>
        <d v="2024-04-11T00:00:00"/>
        <d v="2024-04-17T00:00:00"/>
        <d v="2021-12-17T00:00:00"/>
        <d v="2022-05-21T00:00:00"/>
        <d v="2021-03-25T00:00:00"/>
        <d v="2023-09-20T00:00:00"/>
        <d v="2023-04-10T00:00:00"/>
        <d v="2023-05-11T00:00:00"/>
        <d v="2024-07-27T00:00:00"/>
        <d v="2023-05-16T00:00:00"/>
        <d v="2024-07-10T00:00:00"/>
        <d v="2024-04-08T00:00:00"/>
        <d v="2022-08-21T00:00:00"/>
        <d v="2022-10-07T00:00:00"/>
        <d v="2022-11-21T00:00:00"/>
        <d v="2023-09-29T00:00:00"/>
        <d v="2023-02-03T00:00:00"/>
        <d v="2023-01-05T00:00:00"/>
        <d v="2024-11-03T00:00:00"/>
        <d v="2024-05-09T00:00:00"/>
        <d v="2021-09-07T00:00:00"/>
        <d v="2024-12-03T00:00:00"/>
        <d v="2023-09-08T00:00:00"/>
        <d v="2024-03-06T00:00:00"/>
        <d v="2021-05-30T00:00:00"/>
        <d v="2022-08-03T00:00:00"/>
        <d v="2021-11-17T00:00:00"/>
        <d v="2023-04-02T00:00:00"/>
        <d v="2022-06-16T00:00:00"/>
        <d v="2024-08-05T00:00:00"/>
        <d v="2022-05-07T00:00:00"/>
        <d v="2022-09-04T00:00:00"/>
        <d v="2021-09-09T00:00:00"/>
        <d v="2024-01-06T00:00:00"/>
        <d v="2024-12-06T00:00:00"/>
        <d v="2021-06-22T00:00:00"/>
        <d v="2021-07-20T00:00:00"/>
        <d v="2021-08-05T00:00:00"/>
        <d v="2021-01-11T00:00:00"/>
        <d v="2023-11-02T00:00:00"/>
        <d v="2022-03-11T00:00:00"/>
        <d v="2023-03-29T00:00:00"/>
        <d v="2024-10-28T00:00:00"/>
        <d v="2023-07-20T00:00:00"/>
        <d v="2022-11-22T00:00:00"/>
        <d v="2024-03-01T00:00:00"/>
        <d v="2023-02-23T00:00:00"/>
        <d v="2021-11-15T00:00:00"/>
        <d v="2023-04-24T00:00:00"/>
        <d v="2022-09-13T00:00:00"/>
        <d v="2023-02-24T00:00:00"/>
        <d v="2024-04-06T00:00:00"/>
        <d v="2022-02-01T00:00:00"/>
        <d v="2023-12-18T00:00:00"/>
        <d v="2021-03-02T00:00:00"/>
        <d v="2022-01-04T00:00:00"/>
        <d v="2024-02-19T00:00:00"/>
        <d v="2022-12-20T00:00:00"/>
        <d v="2023-11-07T00:00:00"/>
        <d v="2022-05-11T00:00:00"/>
        <d v="2022-05-12T00:00:00"/>
        <d v="2023-08-27T00:00:00"/>
        <d v="2023-12-29T00:00:00"/>
        <d v="2021-06-10T00:00:00"/>
        <d v="2022-12-19T00:00:00"/>
        <d v="2024-03-14T00:00:00"/>
        <d v="2024-11-09T00:00:00"/>
        <d v="2021-09-26T00:00:00"/>
        <d v="2022-11-30T00:00:00"/>
        <d v="2023-05-15T00:00:00"/>
        <d v="2021-12-16T00:00:00"/>
        <d v="2021-04-20T00:00:00"/>
        <d v="2022-02-11T00:00:00"/>
        <d v="2022-10-12T00:00:00"/>
        <d v="2021-02-20T00:00:00"/>
        <d v="2024-11-27T00:00:00"/>
        <d v="2023-12-28T00:00:00"/>
        <d v="2022-08-19T00:00:00"/>
        <d v="2023-09-06T00:00:00"/>
        <d v="2023-12-02T00:00:00"/>
        <d v="2023-01-01T00:00:00"/>
        <d v="2021-02-26T00:00:00"/>
        <d v="2023-01-08T00:00:00"/>
        <d v="2023-12-22T00:00:00"/>
        <d v="2021-04-22T00:00:00"/>
        <d v="2023-02-04T00:00:00"/>
        <d v="2022-12-12T00:00:00"/>
        <d v="2024-04-16T00:00:00"/>
        <d v="2023-08-06T00:00:00"/>
        <d v="2022-02-14T00:00:00"/>
        <d v="2023-01-28T00:00:00"/>
        <d v="2024-09-02T00:00:00"/>
        <d v="2024-02-04T00:00:00"/>
        <d v="2023-01-19T00:00:00"/>
        <d v="2021-09-03T00:00:00"/>
        <d v="2024-01-10T00:00:00"/>
        <d v="2023-06-28T00:00:00"/>
        <d v="2022-01-31T00:00:00"/>
        <d v="2023-07-15T00:00:00"/>
        <d v="2023-03-01T00:00:00"/>
        <d v="2021-06-21T00:00:00"/>
        <d v="2021-09-22T00:00:00"/>
        <d v="2023-11-16T00:00:00"/>
        <d v="2022-04-21T00:00:00"/>
        <d v="2021-12-22T00:00:00"/>
        <d v="2021-02-03T00:00:00"/>
        <d v="2024-03-07T00:00:00"/>
        <d v="2023-03-27T00:00:00"/>
        <d v="2023-01-24T00:00:00"/>
        <d v="2022-04-07T00:00:00"/>
        <d v="2022-10-17T00:00:00"/>
        <d v="2021-03-22T00:00:00"/>
        <d v="2023-01-27T00:00:00"/>
        <d v="2024-12-01T00:00:00"/>
        <d v="2023-03-18T00:00:00"/>
        <d v="2023-12-13T00:00:00"/>
        <d v="2023-09-11T00:00:00"/>
        <d v="2023-02-16T00:00:00"/>
        <d v="2022-03-23T00:00:00"/>
        <d v="2021-10-17T00:00:00"/>
        <d v="2021-07-28T00:00:00"/>
        <d v="2022-02-17T00:00:00"/>
        <d v="2024-12-21T00:00:00"/>
        <d v="2024-10-26T00:00:00"/>
        <d v="2022-10-26T00:00:00"/>
        <d v="2024-12-26T00:00:00"/>
        <d v="2024-07-15T00:00:00"/>
        <d v="2021-05-31T00:00:00"/>
        <d v="2024-07-02T00:00:00"/>
        <d v="2024-10-08T00:00:00"/>
        <d v="2024-11-01T00:00:00"/>
        <d v="2024-10-13T00:00:00"/>
        <d v="2022-08-31T00:00:00"/>
        <d v="2022-01-05T00:00:00"/>
        <d v="2024-06-04T00:00:00"/>
        <d v="2022-12-06T00:00:00"/>
        <d v="2024-08-19T00:00:00"/>
        <d v="2023-04-06T00:00:00"/>
        <d v="2023-10-02T00:00:00"/>
        <d v="2022-01-12T00:00:00"/>
        <d v="2021-04-28T00:00:00"/>
        <d v="2023-10-26T00:00:00"/>
        <d v="2022-03-20T00:00:00"/>
        <d v="2024-10-07T00:00:00"/>
        <d v="2023-01-25T00:00:00"/>
        <d v="2022-10-02T00:00:00"/>
        <d v="2021-05-04T00:00:00"/>
        <d v="2022-10-20T00:00:00"/>
        <d v="2024-07-24T00:00:00"/>
        <d v="2024-11-18T00:00:00"/>
        <d v="2021-12-26T00:00:00"/>
        <d v="2023-12-17T00:00:00"/>
        <d v="2024-06-28T00:00:00"/>
        <d v="2023-07-08T00:00:00"/>
        <d v="2024-03-19T00:00:00"/>
        <d v="2022-03-28T00:00:00"/>
        <d v="2024-03-31T00:00:00"/>
        <d v="2021-04-30T00:00:00"/>
        <d v="2022-08-05T00:00:00"/>
        <d v="2024-10-06T00:00:00"/>
        <d v="2021-04-09T00:00:00"/>
        <d v="2024-04-05T00:00:00"/>
        <d v="2022-05-29T00:00:00"/>
        <d v="2024-09-11T00:00:00"/>
        <d v="2022-08-04T00:00:00"/>
        <d v="2023-04-08T00:00:00"/>
        <d v="2021-09-04T00:00:00"/>
        <d v="2022-03-10T00:00:00"/>
        <d v="2023-08-01T00:00:00"/>
        <d v="2022-09-16T00:00:00"/>
        <d v="2023-05-06T00:00:00"/>
        <d v="2021-03-03T00:00:00"/>
        <d v="2021-10-27T00:00:00"/>
        <d v="2022-02-07T00:00:00"/>
        <d v="2023-08-13T00:00:00"/>
        <d v="2024-10-24T00:00:00"/>
        <d v="2023-08-19T00:00:00"/>
        <d v="2021-07-24T00:00:00"/>
        <d v="2024-07-14T00:00:00"/>
        <d v="2023-01-30T00:00:00"/>
        <d v="2022-12-22T00:00:00"/>
        <d v="2021-03-09T00:00:00"/>
        <d v="2021-11-04T00:00:00"/>
        <d v="2024-04-12T00:00:00"/>
        <d v="2022-02-16T00:00:00"/>
        <d v="2024-03-23T00:00:00"/>
        <d v="2024-06-19T00:00:00"/>
        <d v="2023-11-17T00:00:00"/>
        <d v="2023-12-20T00:00:00"/>
        <d v="2021-07-21T00:00:00"/>
        <d v="2022-06-17T00:00:00"/>
        <d v="2024-03-21T00:00:00"/>
        <d v="2024-01-31T00:00:00"/>
        <d v="2023-06-18T00:00:00"/>
        <d v="2023-05-23T00:00:00"/>
        <d v="2024-06-06T00:00:00"/>
        <d v="2024-02-23T00:00:00"/>
        <d v="2023-02-09T00:00:00"/>
        <d v="2023-04-14T00:00:00"/>
        <d v="2023-07-27T00:00:00"/>
        <d v="2022-07-08T00:00:00"/>
        <d v="2023-02-27T00:00:00"/>
        <d v="2024-02-22T00:00:00"/>
        <d v="2023-03-16T00:00:00"/>
        <d v="2022-02-06T00:00:00"/>
        <d v="2021-07-25T00:00:00"/>
        <d v="2023-05-17T00:00:00"/>
        <d v="2021-04-03T00:00:00"/>
        <d v="2022-01-14T00:00:00"/>
        <d v="2024-02-05T00:00:00"/>
        <d v="2024-09-13T00:00:00"/>
        <d v="2021-03-06T00:00:00"/>
        <d v="2023-11-14T00:00:00"/>
        <d v="2022-06-24T00:00:00"/>
        <d v="2021-08-17T00:00:00"/>
        <d v="2024-12-15T00:00:00"/>
        <d v="2021-11-03T00:00:00"/>
        <d v="2022-03-08T00:00:00"/>
        <d v="2021-05-16T00:00:00"/>
        <d v="2022-05-30T00:00:00"/>
        <d v="2021-07-12T00:00:00"/>
        <d v="2024-12-09T00:00:00"/>
        <d v="2024-02-16T00:00:00"/>
        <d v="2022-10-28T00:00:00"/>
        <d v="2023-08-10T00:00:00"/>
        <d v="2022-10-11T00:00:00"/>
        <d v="2024-09-03T00:00:00"/>
        <d v="2022-09-19T00:00:00"/>
        <d v="2022-06-09T00:00:00"/>
        <d v="2023-02-08T00:00:00"/>
        <d v="2024-01-18T00:00:00"/>
        <d v="2022-05-27T00:00:00"/>
        <d v="2021-02-16T00:00:00"/>
        <d v="2023-02-11T00:00:00"/>
        <d v="2023-01-10T00:00:00"/>
        <d v="2024-07-31T00:00:00"/>
        <d v="2021-05-14T00:00:00"/>
        <d v="2021-09-05T00:00:00"/>
        <d v="2022-03-12T00:00:00"/>
        <d v="2024-04-14T00:00:00"/>
        <d v="2021-05-23T00:00:00"/>
        <d v="2023-03-15T00:00:00"/>
        <d v="2024-11-22T00:00:00"/>
        <d v="2022-10-05T00:00:00"/>
        <d v="2022-05-16T00:00:00"/>
        <d v="2024-11-06T00:00:00"/>
        <d v="2024-01-15T00:00:00"/>
        <d v="2023-02-26T00:00:00"/>
        <d v="2024-09-10T00:00:00"/>
        <n v="45264" u="1"/>
        <n v="45298" u="1"/>
        <n v="45446" u="1"/>
        <n v="44358" u="1"/>
        <n v="44449" u="1"/>
        <n v="44328" u="1"/>
        <n v="44670" u="1"/>
        <n v="45329" u="1"/>
        <n v="44902" u="1"/>
        <n v="45255" u="1"/>
        <n v="44471" u="1"/>
        <n v="44383" u="1"/>
        <n v="45145" u="1"/>
        <n v="44439" u="1"/>
        <n v="44460" u="1"/>
        <n v="44718" u="1"/>
        <n v="45159" u="1"/>
        <n v="44979" u="1"/>
        <n v="45307" u="1"/>
        <n v="44731" u="1"/>
        <n v="44406" u="1"/>
        <n v="44242" u="1"/>
        <n v="44222" u="1"/>
        <n v="45486" u="1"/>
        <n v="44371" u="1"/>
        <n v="45531" u="1"/>
        <n v="44518" u="1"/>
        <n v="45355" u="1"/>
        <n v="44251" u="1"/>
        <n v="45376" u="1"/>
        <n v="44864" u="1"/>
        <n v="44343" u="1"/>
        <n v="44795" u="1"/>
        <n v="44216" u="1"/>
        <n v="45489" u="1"/>
        <n v="44529" u="1"/>
        <n v="45103" u="1"/>
        <n v="45140" u="1"/>
        <n v="45107" u="1"/>
        <n v="44597" u="1"/>
        <n v="45146" u="1"/>
        <n v="45526" u="1"/>
        <n v="44224" u="1"/>
        <n v="44663" u="1"/>
        <n v="45480" u="1"/>
        <n v="45178" u="1"/>
        <n v="44297" u="1"/>
        <n v="44747" u="1"/>
        <n v="44998" u="1"/>
        <n v="44549" u="1"/>
        <n v="45520" u="1"/>
        <n v="44492" u="1"/>
        <n v="45104" u="1"/>
        <n v="45350" u="1"/>
        <n v="45215" u="1"/>
        <n v="45294" u="1"/>
        <n v="45562" u="1"/>
        <n v="45310" u="1"/>
        <n v="44651" u="1"/>
        <n v="44908" u="1"/>
        <n v="45176" u="1"/>
        <n v="45552" u="1"/>
        <n v="44935" u="1"/>
        <n v="45173" u="1"/>
        <n v="45568" u="1"/>
        <n v="44429" u="1"/>
        <n v="45220" u="1"/>
        <n v="44298" u="1"/>
        <n v="45149" u="1"/>
        <n v="44677" u="1"/>
        <n v="45434" u="1"/>
        <n v="44304" u="1"/>
        <n v="45385" u="1"/>
        <n v="45169" u="1"/>
        <n v="44900" u="1"/>
        <n v="44531" u="1"/>
        <n v="44282" u="1"/>
        <n v="44930" u="1"/>
        <n v="45071" u="1"/>
        <n v="45644" u="1"/>
        <n v="44560" u="1"/>
        <n v="44256" u="1"/>
        <n v="45470" u="1"/>
        <n v="44756" u="1"/>
        <n v="44313" u="1"/>
        <n v="45070" u="1"/>
        <n v="45111" u="1"/>
        <n v="45164" u="1"/>
        <n v="45195" u="1"/>
        <n v="44240" u="1"/>
        <n v="44705" u="1"/>
        <n v="45588" u="1"/>
        <n v="45512" u="1"/>
        <n v="45045" u="1"/>
        <n v="45113" u="1"/>
        <n v="45094" u="1"/>
        <n v="44995" u="1"/>
        <n v="45072" u="1"/>
        <n v="44482" u="1"/>
        <n v="45424" u="1"/>
        <n v="44880" u="1"/>
        <n v="45015" u="1"/>
        <n v="44317" u="1"/>
        <n v="45141" u="1"/>
        <n v="45214" u="1"/>
        <n v="45408" u="1"/>
        <n v="44209" u="1"/>
        <n v="44799" u="1"/>
        <n v="44396" u="1"/>
        <n v="44782" u="1"/>
        <n v="44644" u="1"/>
        <n v="45037" u="1"/>
        <n v="45291" u="1"/>
        <n v="44786" u="1"/>
        <n v="45085" u="1"/>
        <n v="44239" u="1"/>
        <n v="44716" u="1"/>
        <n v="45233" u="1"/>
        <n v="44921" u="1"/>
        <n v="44819" u="1"/>
        <n v="45184" u="1"/>
        <n v="44999" u="1"/>
        <n v="44498" u="1"/>
        <n v="44723" u="1"/>
        <n v="45335" u="1"/>
        <n v="44656" u="1"/>
        <n v="45028" u="1"/>
        <n v="44701" u="1"/>
        <n v="45528" u="1"/>
        <n v="45128" u="1"/>
        <n v="44521" u="1"/>
        <n v="44775" u="1"/>
        <n v="44957" u="1"/>
        <n v="45395" u="1"/>
        <n v="45047" u="1"/>
        <n v="45392" u="1"/>
        <n v="45156" u="1"/>
        <n v="44698" u="1"/>
        <n v="44530" u="1"/>
        <n v="44480" u="1"/>
        <n v="44671" u="1"/>
        <n v="45274" u="1"/>
        <n v="45640" u="1"/>
        <n v="44828" u="1"/>
        <n v="44899" u="1"/>
        <n v="44605" u="1"/>
        <n v="45524" u="1"/>
        <n v="44755" u="1"/>
        <n v="44418" u="1"/>
        <n v="44354" u="1"/>
        <n v="44544" u="1"/>
        <n v="45379" u="1"/>
        <n v="45118" u="1"/>
        <n v="45455" u="1"/>
        <n v="44858" u="1"/>
        <n v="44601" u="1"/>
        <n v="45477" u="1"/>
        <n v="44873" u="1"/>
        <n v="44785" u="1"/>
        <n v="44754" u="1"/>
        <n v="45101" u="1"/>
        <n v="45267" u="1"/>
        <n v="45433" u="1"/>
        <n v="44675" u="1"/>
        <n v="44683" u="1"/>
        <n v="44762" u="1"/>
        <n v="44720" u="1"/>
        <n v="45226" u="1"/>
        <n v="45017" u="1"/>
        <n v="45364" u="1"/>
        <n v="45054" u="1"/>
        <n v="45481" u="1"/>
        <n v="44781" u="1"/>
        <n v="44882" u="1"/>
        <n v="44428" u="1"/>
        <n v="44466" u="1"/>
        <n v="45136" u="1"/>
        <n v="45442" u="1"/>
        <n v="44248" u="1"/>
        <n v="44312" u="1"/>
        <n v="44734" u="1"/>
        <n v="44737" u="1"/>
        <n v="45239" u="1"/>
        <n v="45011" u="1"/>
        <n v="45612" u="1"/>
        <n v="44987" u="1"/>
        <n v="44814" u="1"/>
        <n v="44615" u="1"/>
        <n v="44505" u="1"/>
        <n v="45060" u="1"/>
        <n v="44382" u="1"/>
        <n v="44457" u="1"/>
        <n v="45493" u="1"/>
        <n v="44356" u="1"/>
        <n v="45066" u="1"/>
        <n v="44958" u="1"/>
        <n v="44420" u="1"/>
        <n v="45476" u="1"/>
        <n v="44376" u="1"/>
        <n v="45430" u="1"/>
        <n v="44254" u="1"/>
        <n v="45313" u="1"/>
        <n v="45441" u="1"/>
        <n v="44919" u="1"/>
        <n v="45452" u="1"/>
        <n v="45584" u="1"/>
        <n v="44811" u="1"/>
        <n v="44758" u="1"/>
        <n v="44570" u="1"/>
        <n v="44818" u="1"/>
        <n v="44284" u="1"/>
        <n v="45240" u="1"/>
        <n v="45210" u="1"/>
        <n v="44210" u="1"/>
        <n v="44329" u="1"/>
        <n v="45254" u="1"/>
        <n v="45088" u="1"/>
        <n v="45428" u="1"/>
        <n v="45419" u="1"/>
        <n v="44788" u="1"/>
        <n v="44779" u="1"/>
        <n v="45375" u="1"/>
        <n v="44485" u="1"/>
        <n v="45209" u="1"/>
        <n v="45075" u="1"/>
        <n v="44203" u="1"/>
        <n v="45380" u="1"/>
        <n v="44436" u="1"/>
        <n v="45643" u="1"/>
        <n v="44732" u="1"/>
        <n v="44266" u="1"/>
        <n v="44412" u="1"/>
        <n v="45324" u="1"/>
        <n v="45002" u="1"/>
        <n v="44526" u="1"/>
        <n v="45044" u="1"/>
        <n v="45423" u="1"/>
        <n v="45508" u="1"/>
        <n v="44241" u="1"/>
        <n v="45025" u="1"/>
        <n v="44394" u="1"/>
        <n v="45436" u="1"/>
        <n v="45529" u="1"/>
        <n v="45092" u="1"/>
        <n v="45655" u="1"/>
        <n v="44528" u="1"/>
        <n v="44892" u="1"/>
        <n v="44223" u="1"/>
        <n v="45386" u="1"/>
        <n v="44514" u="1"/>
        <n v="45494" u="1"/>
        <n v="45603" u="1"/>
        <n v="44561" u="1"/>
        <n v="45323" u="1"/>
        <n v="44569" u="1"/>
        <n v="44441" u="1"/>
        <n v="45389" u="1"/>
        <n v="45638" u="1"/>
        <n v="45576" u="1"/>
        <n v="44674" u="1"/>
        <n v="44321" u="1"/>
        <n v="44733" u="1"/>
        <n v="45622" u="1"/>
        <n v="44727" u="1"/>
        <n v="44982" u="1"/>
        <n v="44450" u="1"/>
        <n v="45252" u="1"/>
        <n v="44857" u="1"/>
        <n v="45257" u="1"/>
        <n v="45403" u="1"/>
        <n v="45485" u="1"/>
        <n v="45339" u="1"/>
        <n v="45129" u="1"/>
        <n v="44941" u="1"/>
        <n v="45163" u="1"/>
        <n v="44959" u="1"/>
        <n v="44990" u="1"/>
        <n v="44940" u="1"/>
        <n v="45266" u="1"/>
        <n v="44722" u="1"/>
        <n v="44793" u="1"/>
        <n v="45036" u="1"/>
        <n v="44199" u="1"/>
        <n v="45248" u="1"/>
        <n v="45601" u="1"/>
        <n v="44353" u="1"/>
        <n v="45051" u="1"/>
        <n v="44707" u="1"/>
        <n v="45553" u="1"/>
        <n v="44883" u="1"/>
        <n v="45334" u="1"/>
        <n v="45609" u="1"/>
        <n v="44767" u="1"/>
        <n v="44911" u="1"/>
        <n v="45535" u="1"/>
        <n v="44435" u="1"/>
        <n v="45454" u="1"/>
        <n v="44499" u="1"/>
        <n v="44803" u="1"/>
        <n v="45187" u="1"/>
        <n v="44309" u="1"/>
        <n v="44558" u="1"/>
        <n v="44997" u="1"/>
        <n v="44293" u="1"/>
        <n v="44212" u="1"/>
        <n v="44752" u="1"/>
        <n v="44572" u="1"/>
        <n v="44938" u="1"/>
        <n v="44586" u="1"/>
        <n v="44816" u="1"/>
        <n v="45437" u="1"/>
        <n v="45619" u="1"/>
        <n v="45020" u="1"/>
        <n v="44516" u="1"/>
        <n v="44392" u="1"/>
        <n v="44614" u="1"/>
        <n v="44764" u="1"/>
        <n v="44740" u="1"/>
        <n v="44427" u="1"/>
        <n v="45080" u="1"/>
        <n v="44717" u="1"/>
        <n v="45420" u="1"/>
        <n v="45042" u="1"/>
        <n v="44869" u="1"/>
        <n v="44217" u="1"/>
        <n v="44784" u="1"/>
        <n v="45654" u="1"/>
        <n v="44567" u="1"/>
        <n v="44274" u="1"/>
        <n v="45505" u="1"/>
        <n v="44844" u="1"/>
        <n v="44336" u="1"/>
        <n v="44749" u="1"/>
        <n v="45194" u="1"/>
        <n v="44478" u="1"/>
        <n v="45478" u="1"/>
        <n v="45580" u="1"/>
        <n v="44636" u="1"/>
        <n v="45354" u="1"/>
        <n v="44942" u="1"/>
        <n v="44300" u="1"/>
        <n v="44962" u="1"/>
        <n v="44291" u="1"/>
        <n v="44925" u="1"/>
        <n v="44676" u="1"/>
        <n v="44976" u="1"/>
        <n v="45461" u="1"/>
        <n v="45367" u="1"/>
        <n v="44797" u="1"/>
        <n v="44489" u="1"/>
        <n v="44221" u="1"/>
        <n v="45492" u="1"/>
        <n v="45135" u="1"/>
        <n v="44850" u="1"/>
        <n v="45181" u="1"/>
        <n v="44834" u="1"/>
        <n v="44687" u="1"/>
        <n v="45361" u="1"/>
        <n v="44771" u="1"/>
        <n v="44490" u="1"/>
        <n v="45474" u="1"/>
        <n v="45400" u="1"/>
        <n v="44236" u="1"/>
        <n v="44972" u="1"/>
        <n v="44742" u="1"/>
        <n v="44432" u="1"/>
        <n v="44659" u="1"/>
        <n v="45448" u="1"/>
        <n v="44679" u="1"/>
        <n v="44626" u="1"/>
        <n v="45242" u="1"/>
        <n v="44539" u="1"/>
        <n v="45260" u="1"/>
        <n v="45393" u="1"/>
        <n v="45399" u="1"/>
        <n v="44547" u="1"/>
        <n v="44702" u="1"/>
        <n v="44280" u="1"/>
        <n v="45189" u="1"/>
        <n v="45026" u="1"/>
        <n v="45057" u="1"/>
        <n v="45500" u="1"/>
        <n v="45062" u="1"/>
        <n v="45483" u="1"/>
        <n v="45390" u="1"/>
        <n v="44794" u="1"/>
        <n v="44841" u="1"/>
        <n v="44886" u="1"/>
        <n v="45198" u="1"/>
        <n v="44960" u="1"/>
        <n v="44931" u="1"/>
        <n v="45599" u="1"/>
        <n v="45421" u="1"/>
        <n v="44446" u="1"/>
        <n v="45629" u="1"/>
        <n v="45177" u="1"/>
        <n v="45357" u="1"/>
        <n v="44346" u="1"/>
        <n v="44776" u="1"/>
        <n v="44517" u="1"/>
        <n v="45018" u="1"/>
        <n v="44728" u="1"/>
        <n v="45509" u="1"/>
        <n v="44688" u="1"/>
        <n v="44808" u="1"/>
        <n v="44448" u="1"/>
        <n v="45297" u="1"/>
        <n v="45632" u="1"/>
        <n v="44369" u="1"/>
        <n v="44397" u="1"/>
        <n v="44413" u="1"/>
        <n v="44207" u="1"/>
        <n v="45232" u="1"/>
        <n v="44631" u="1"/>
        <n v="45014" u="1"/>
        <n v="45593" u="1"/>
        <n v="45127" u="1"/>
        <n v="44887" u="1"/>
        <n v="45352" u="1"/>
        <n v="44980" u="1"/>
        <n v="44515" u="1"/>
        <n v="45040" u="1"/>
        <n v="44817" u="1"/>
        <n v="44981" u="1"/>
        <n v="45388" u="1"/>
        <n v="44593" u="1"/>
        <n v="45278" u="1"/>
        <n v="44257" u="1"/>
        <n v="44565" u="1"/>
        <n v="45341" u="1"/>
        <n v="44915" u="1"/>
        <n v="45237" u="1"/>
        <n v="44692" u="1"/>
        <n v="44693" u="1"/>
        <n v="45165" u="1"/>
        <n v="45289" u="1"/>
        <n v="44357" u="1"/>
        <n v="44914" u="1"/>
        <n v="45365" u="1"/>
        <n v="45605" u="1"/>
        <n v="44465" u="1"/>
        <n v="44895" u="1"/>
        <n v="45061" u="1"/>
        <n v="44546" u="1"/>
        <n v="44306" u="1"/>
        <n v="44603" u="1"/>
        <n v="44846" u="1"/>
        <n v="44247" u="1"/>
        <n v="45623" u="1"/>
        <n v="45288" u="1"/>
        <n v="44792" u="1"/>
        <n v="45175" u="1"/>
        <n v="45262" u="1"/>
        <n v="44927" u="1"/>
        <n v="44253" u="1"/>
        <n v="44934" u="1"/>
        <n v="45282" u="1"/>
        <n v="44308" u="1"/>
        <n v="44961" u="1"/>
        <n v="44907" u="1"/>
        <n v="45398" u="1"/>
        <n v="45144" u="1"/>
        <n v="44606" u="1"/>
        <n v="44954" u="1"/>
        <n v="45537" u="1"/>
        <n v="45326" u="1"/>
        <n v="44945" u="1"/>
        <n v="44442" u="1"/>
        <n v="45301" u="1"/>
        <n v="45105" u="1"/>
        <n v="44592" u="1"/>
        <n v="45122" u="1"/>
        <n v="44986" u="1"/>
        <n v="44368" u="1"/>
        <n v="44461" u="1"/>
        <n v="45246" u="1"/>
        <n v="44672" u="1"/>
        <n v="44552" u="1"/>
        <n v="44230" u="1"/>
        <n v="45358" u="1"/>
        <n v="45012" u="1"/>
        <n v="44950" u="1"/>
        <n v="44658" u="1"/>
        <n v="44851" u="1"/>
        <n v="44277" u="1"/>
        <n v="44953" u="1"/>
        <n v="45627" u="1"/>
        <n v="45003" u="1"/>
        <n v="45273" u="1"/>
        <n v="45180" u="1"/>
        <n v="44973" u="1"/>
        <n v="44643" u="1"/>
        <n v="44486" u="1"/>
        <n v="44405" u="1"/>
        <n v="44609" u="1"/>
        <n v="45647" u="1"/>
        <n v="45591" u="1"/>
        <n v="44860" u="1"/>
        <n v="45652" u="1"/>
        <n v="45488" u="1"/>
        <n v="44347" u="1"/>
        <n v="45475" u="1"/>
        <n v="45573" u="1"/>
        <n v="45597" u="1"/>
        <n v="45578" u="1"/>
        <n v="44804" u="1"/>
        <n v="44566" u="1"/>
        <n v="45447" u="1"/>
        <n v="44901" u="1"/>
        <n v="45523" u="1"/>
        <n v="45022" u="1"/>
        <n v="45201" u="1"/>
        <n v="44573" u="1"/>
        <n v="44314" u="1"/>
        <n v="45225" u="1"/>
        <n v="44640" u="1"/>
        <n v="45572" u="1"/>
        <n v="44951" u="1"/>
        <n v="44836" u="1"/>
        <n v="44320" u="1"/>
        <n v="44854" u="1"/>
        <n v="45497" u="1"/>
        <n v="45614" u="1"/>
        <n v="44556" u="1"/>
        <n v="45277" u="1"/>
        <n v="45471" u="1"/>
        <n v="45115" u="1"/>
        <n v="45370" u="1"/>
        <n v="44648" u="1"/>
        <n v="45382" u="1"/>
        <n v="44316" u="1"/>
        <n v="44778" u="1"/>
        <n v="45571" u="1"/>
        <n v="44295" u="1"/>
        <n v="45387" u="1"/>
        <n v="44710" u="1"/>
        <n v="45546" u="1"/>
        <n v="44777" u="1"/>
        <n v="45024" u="1"/>
        <n v="44443" u="1"/>
        <n v="44630" u="1"/>
        <n v="45139" u="1"/>
        <n v="44820" u="1"/>
        <n v="45052" u="1"/>
        <n v="44258" u="1"/>
        <n v="44496" u="1"/>
        <n v="44599" u="1"/>
        <n v="45151" u="1"/>
        <n v="45589" u="1"/>
        <n v="45157" u="1"/>
        <n v="44401" u="1"/>
        <n v="45487" u="1"/>
        <n v="44956" u="1"/>
        <n v="44917" u="1"/>
        <n v="44264" u="1"/>
        <n v="44504" u="1"/>
        <n v="45394" u="1"/>
        <n v="44608" u="1"/>
        <n v="45374" u="1"/>
        <n v="45462" u="1"/>
        <n v="45247" u="1"/>
        <n v="45280" u="1"/>
        <n v="44398" u="1"/>
        <n v="44729" u="1"/>
        <n v="45372" u="1"/>
        <n v="45322" u="1"/>
        <n v="45095" u="1"/>
        <n v="45069" u="1"/>
        <n v="45449" u="1"/>
        <n v="45345" u="1"/>
        <n v="44966" u="1"/>
        <n v="45030" u="1"/>
        <n v="45134" u="1"/>
        <n v="44750" u="1"/>
        <n v="44984" u="1"/>
        <n v="45344" u="1"/>
        <n v="45001" u="1"/>
        <n v="44598" u="1"/>
        <n v="44402" u="1"/>
        <n v="45063" u="1"/>
        <n v="44289" u="1"/>
        <n v="44575" u="1"/>
        <n v="45327" u="1"/>
        <n v="45548" u="1"/>
        <n v="44261" u="1"/>
        <n v="45244" u="1"/>
        <n v="44736" u="1"/>
        <n v="44425" u="1"/>
        <n v="45641" u="1"/>
        <n v="44503" u="1"/>
        <n v="44628" u="1"/>
        <n v="44332" u="1"/>
        <n v="44711" u="1"/>
        <n v="44389" u="1"/>
        <n v="45635" u="1"/>
        <n v="45338" u="1"/>
        <n v="44862" u="1"/>
        <n v="45148" u="1"/>
        <n v="44845" u="1"/>
        <n v="45538" u="1"/>
        <n v="44823" u="1"/>
        <n v="44721" u="1"/>
        <n v="44965" u="1"/>
        <n v="45309" u="1"/>
        <n v="44708" u="1"/>
        <n v="44243" u="1"/>
        <n v="44968" u="1"/>
        <n v="44936" u="1"/>
        <n v="45504" u="1"/>
        <n v="44330" u="1"/>
        <n v="44444" u="1"/>
        <n v="44632" u="1"/>
        <n v="45396" u="1"/>
        <n v="44339" u="1"/>
        <n v="45000" u="1"/>
        <n v="45618" u="1"/>
        <n v="44839" u="1"/>
        <n v="44697" u="1"/>
        <n v="45602" u="1"/>
        <n v="45306" u="1"/>
        <n v="44983" u="1"/>
        <n v="45545" u="1"/>
      </sharedItems>
      <fieldGroup par="16"/>
    </cacheField>
    <cacheField name="Credit_score_bucket" numFmtId="0">
      <sharedItems count="4">
        <s v="650-699"/>
        <s v="580-649"/>
        <s v="700-749"/>
        <s v="750+"/>
      </sharedItems>
    </cacheField>
    <cacheField name="Months (Funding_Date)" numFmtId="0" databaseField="0">
      <fieldGroup base="13">
        <rangePr autoEnd="0" groupBy="months" startDate="2021-01-03T00:00:00" endDate="2024-12-29T00:00:00"/>
        <groupItems count="14">
          <s v="&lt;1/3/2021"/>
          <s v="Jan"/>
          <s v="Feb"/>
          <s v="Mar"/>
          <s v="Apr"/>
          <s v="May"/>
          <s v="Jun"/>
          <s v="Jul"/>
          <s v="Aug"/>
          <s v="Sep"/>
          <s v="Oct"/>
          <s v="Nov"/>
          <s v="Dec"/>
          <s v="&gt;12/29/2024"/>
        </groupItems>
      </fieldGroup>
    </cacheField>
    <cacheField name="Years (Funding_Date)" numFmtId="0" databaseField="0">
      <fieldGroup base="13">
        <rangePr autoEnd="0" groupBy="years" startDate="2021-01-03T00:00:00" endDate="2024-12-29T00:00:00"/>
        <groupItems count="6">
          <s v="&lt;1/3/2021"/>
          <s v="2021"/>
          <s v="2022"/>
          <s v="2023"/>
          <s v="2024"/>
          <s v="&gt;12/29/2024"/>
        </groupItems>
      </fieldGroup>
    </cacheField>
  </cacheFields>
  <extLst>
    <ext xmlns:x14="http://schemas.microsoft.com/office/spreadsheetml/2009/9/main" uri="{725AE2AE-9491-48be-B2B4-4EB974FC3084}">
      <x14:pivotCacheDefinition pivotCacheId="20185398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s v="CL100000"/>
    <x v="0"/>
    <s v="Tier 2"/>
    <x v="0"/>
    <n v="125234"/>
    <x v="0"/>
    <n v="48"/>
    <n v="43960"/>
    <n v="660"/>
    <x v="0"/>
    <n v="8.4"/>
    <n v="45.2"/>
    <x v="0"/>
    <x v="0"/>
    <x v="0"/>
  </r>
  <r>
    <s v="CL100001"/>
    <x v="1"/>
    <s v="Tier 1"/>
    <x v="0"/>
    <n v="573302"/>
    <x v="1"/>
    <n v="240"/>
    <n v="58791"/>
    <n v="648"/>
    <x v="0"/>
    <n v="0.5"/>
    <n v="27.4"/>
    <x v="1"/>
    <x v="1"/>
    <x v="1"/>
  </r>
  <r>
    <s v="CL100002"/>
    <x v="2"/>
    <s v="Tier 2"/>
    <x v="0"/>
    <n v="183570"/>
    <x v="2"/>
    <n v="120"/>
    <n v="53216"/>
    <n v="727"/>
    <x v="1"/>
    <n v="10"/>
    <n v="27.6"/>
    <x v="1"/>
    <x v="2"/>
    <x v="2"/>
  </r>
  <r>
    <s v="CL100003"/>
    <x v="3"/>
    <s v="Tier 2"/>
    <x v="0"/>
    <n v="514733"/>
    <x v="3"/>
    <n v="12"/>
    <n v="191539"/>
    <n v="595"/>
    <x v="0"/>
    <n v="13.7"/>
    <n v="12.8"/>
    <x v="1"/>
    <x v="3"/>
    <x v="1"/>
  </r>
  <r>
    <s v="CL100004"/>
    <x v="4"/>
    <s v="Tier 1"/>
    <x v="0"/>
    <n v="289996"/>
    <x v="4"/>
    <n v="60"/>
    <n v="92427"/>
    <n v="684"/>
    <x v="0"/>
    <n v="15.5"/>
    <n v="40.1"/>
    <x v="1"/>
    <x v="4"/>
    <x v="0"/>
  </r>
  <r>
    <s v="CL100005"/>
    <x v="4"/>
    <s v="Tier 2"/>
    <x v="1"/>
    <n v="346383"/>
    <x v="5"/>
    <n v="300"/>
    <n v="140470"/>
    <n v="744"/>
    <x v="0"/>
    <n v="16.600000000000001"/>
    <n v="17.899999999999999"/>
    <x v="1"/>
    <x v="5"/>
    <x v="2"/>
  </r>
  <r>
    <s v="CL100006"/>
    <x v="4"/>
    <s v="Tier 3"/>
    <x v="0"/>
    <n v="399145"/>
    <x v="6"/>
    <n v="12"/>
    <n v="101290"/>
    <n v="780"/>
    <x v="2"/>
    <n v="20.9"/>
    <n v="44"/>
    <x v="1"/>
    <x v="6"/>
    <x v="3"/>
  </r>
  <r>
    <s v="CL100007"/>
    <x v="5"/>
    <s v="Tier 3"/>
    <x v="2"/>
    <n v="737847"/>
    <x v="7"/>
    <n v="24"/>
    <n v="75014"/>
    <n v="776"/>
    <x v="3"/>
    <n v="5.4"/>
    <n v="44.4"/>
    <x v="1"/>
    <x v="7"/>
    <x v="3"/>
  </r>
  <r>
    <s v="CL100008"/>
    <x v="3"/>
    <s v="Tier 1"/>
    <x v="0"/>
    <n v="516603"/>
    <x v="8"/>
    <n v="60"/>
    <n v="163150"/>
    <n v="764"/>
    <x v="1"/>
    <n v="3"/>
    <n v="45.7"/>
    <x v="1"/>
    <x v="8"/>
    <x v="3"/>
  </r>
  <r>
    <s v="CL100009"/>
    <x v="3"/>
    <s v="Tier 1"/>
    <x v="1"/>
    <n v="620863"/>
    <x v="9"/>
    <n v="120"/>
    <n v="78519"/>
    <n v="844"/>
    <x v="0"/>
    <n v="21.3"/>
    <n v="28.8"/>
    <x v="1"/>
    <x v="9"/>
    <x v="3"/>
  </r>
  <r>
    <s v="CL100010"/>
    <x v="4"/>
    <s v="Tier 3"/>
    <x v="3"/>
    <n v="512365"/>
    <x v="10"/>
    <n v="12"/>
    <n v="32042"/>
    <n v="679"/>
    <x v="0"/>
    <n v="3.9"/>
    <n v="35.1"/>
    <x v="1"/>
    <x v="10"/>
    <x v="0"/>
  </r>
  <r>
    <s v="CL100011"/>
    <x v="1"/>
    <s v="Tier 3"/>
    <x v="4"/>
    <n v="624328"/>
    <x v="11"/>
    <n v="36"/>
    <n v="77052"/>
    <n v="793"/>
    <x v="0"/>
    <n v="24.4"/>
    <n v="39.1"/>
    <x v="0"/>
    <x v="11"/>
    <x v="3"/>
  </r>
  <r>
    <s v="CL100012"/>
    <x v="2"/>
    <s v="Tier 1"/>
    <x v="1"/>
    <n v="153510"/>
    <x v="12"/>
    <n v="300"/>
    <n v="42389"/>
    <n v="741"/>
    <x v="0"/>
    <n v="21.1"/>
    <n v="13.2"/>
    <x v="1"/>
    <x v="12"/>
    <x v="2"/>
  </r>
  <r>
    <s v="CL100013"/>
    <x v="4"/>
    <s v="Tier 3"/>
    <x v="0"/>
    <n v="184587"/>
    <x v="13"/>
    <n v="48"/>
    <n v="123961"/>
    <n v="736"/>
    <x v="0"/>
    <n v="12.5"/>
    <n v="32"/>
    <x v="2"/>
    <x v="13"/>
    <x v="2"/>
  </r>
  <r>
    <s v="CL100014"/>
    <x v="4"/>
    <s v="Tier 3"/>
    <x v="0"/>
    <n v="535032"/>
    <x v="14"/>
    <n v="240"/>
    <n v="96111"/>
    <n v="830"/>
    <x v="1"/>
    <n v="24.5"/>
    <n v="9.4"/>
    <x v="1"/>
    <x v="14"/>
    <x v="3"/>
  </r>
  <r>
    <s v="CL100015"/>
    <x v="4"/>
    <s v="Tier 2"/>
    <x v="4"/>
    <n v="744180"/>
    <x v="15"/>
    <n v="240"/>
    <n v="133058"/>
    <n v="676"/>
    <x v="3"/>
    <n v="2.4"/>
    <n v="27.9"/>
    <x v="1"/>
    <x v="15"/>
    <x v="0"/>
  </r>
  <r>
    <s v="CL100016"/>
    <x v="4"/>
    <s v="Tier 2"/>
    <x v="5"/>
    <n v="440633"/>
    <x v="16"/>
    <n v="48"/>
    <n v="121715"/>
    <n v="597"/>
    <x v="3"/>
    <n v="7.6"/>
    <n v="14.2"/>
    <x v="1"/>
    <x v="16"/>
    <x v="1"/>
  </r>
  <r>
    <s v="CL100017"/>
    <x v="0"/>
    <s v="Tier 1"/>
    <x v="4"/>
    <n v="680159"/>
    <x v="17"/>
    <n v="36"/>
    <n v="78733"/>
    <n v="676"/>
    <x v="0"/>
    <n v="16"/>
    <n v="15.3"/>
    <x v="1"/>
    <x v="17"/>
    <x v="0"/>
  </r>
  <r>
    <s v="CL100018"/>
    <x v="0"/>
    <s v="Tier 1"/>
    <x v="1"/>
    <n v="365890"/>
    <x v="18"/>
    <n v="24"/>
    <n v="62754"/>
    <n v="580"/>
    <x v="1"/>
    <n v="8.8000000000000007"/>
    <n v="22.6"/>
    <x v="3"/>
    <x v="18"/>
    <x v="1"/>
  </r>
  <r>
    <s v="CL100019"/>
    <x v="4"/>
    <s v="Tier 1"/>
    <x v="2"/>
    <n v="650194"/>
    <x v="19"/>
    <n v="60"/>
    <n v="177696"/>
    <n v="795"/>
    <x v="0"/>
    <n v="23.2"/>
    <n v="25.3"/>
    <x v="1"/>
    <x v="19"/>
    <x v="3"/>
  </r>
  <r>
    <s v="CL100020"/>
    <x v="3"/>
    <s v="Tier 3"/>
    <x v="1"/>
    <n v="206260"/>
    <x v="20"/>
    <n v="48"/>
    <n v="113886"/>
    <n v="711"/>
    <x v="0"/>
    <n v="1.6"/>
    <n v="32.9"/>
    <x v="2"/>
    <x v="20"/>
    <x v="2"/>
  </r>
  <r>
    <s v="CL100021"/>
    <x v="4"/>
    <s v="Tier 1"/>
    <x v="0"/>
    <n v="536885"/>
    <x v="21"/>
    <n v="36"/>
    <n v="185753"/>
    <n v="839"/>
    <x v="1"/>
    <n v="13.7"/>
    <n v="11"/>
    <x v="3"/>
    <x v="21"/>
    <x v="3"/>
  </r>
  <r>
    <s v="CL100022"/>
    <x v="4"/>
    <s v="Tier 1"/>
    <x v="4"/>
    <n v="435442"/>
    <x v="22"/>
    <n v="120"/>
    <n v="117524"/>
    <n v="704"/>
    <x v="0"/>
    <n v="14.8"/>
    <n v="28.1"/>
    <x v="0"/>
    <x v="22"/>
    <x v="2"/>
  </r>
  <r>
    <s v="CL100023"/>
    <x v="0"/>
    <s v="Tier 1"/>
    <x v="5"/>
    <n v="208199"/>
    <x v="23"/>
    <n v="300"/>
    <n v="109006"/>
    <n v="661"/>
    <x v="0"/>
    <n v="16.3"/>
    <n v="15.3"/>
    <x v="0"/>
    <x v="23"/>
    <x v="0"/>
  </r>
  <r>
    <s v="CL100024"/>
    <x v="0"/>
    <s v="Tier 2"/>
    <x v="0"/>
    <n v="381794"/>
    <x v="24"/>
    <n v="240"/>
    <n v="52704"/>
    <n v="750"/>
    <x v="0"/>
    <n v="6.4"/>
    <n v="31"/>
    <x v="0"/>
    <x v="24"/>
    <x v="3"/>
  </r>
  <r>
    <s v="CL100025"/>
    <x v="2"/>
    <s v="Tier 3"/>
    <x v="4"/>
    <n v="489585"/>
    <x v="25"/>
    <n v="300"/>
    <n v="122913"/>
    <n v="638"/>
    <x v="1"/>
    <n v="9.1"/>
    <n v="33.5"/>
    <x v="1"/>
    <x v="25"/>
    <x v="1"/>
  </r>
  <r>
    <s v="CL100026"/>
    <x v="4"/>
    <s v="Tier 1"/>
    <x v="0"/>
    <n v="737722"/>
    <x v="26"/>
    <n v="36"/>
    <n v="122108"/>
    <n v="611"/>
    <x v="1"/>
    <n v="21.1"/>
    <n v="30.3"/>
    <x v="0"/>
    <x v="26"/>
    <x v="1"/>
  </r>
  <r>
    <s v="CL100027"/>
    <x v="0"/>
    <s v="Tier 1"/>
    <x v="1"/>
    <n v="686777"/>
    <x v="27"/>
    <n v="300"/>
    <n v="35493"/>
    <n v="740"/>
    <x v="0"/>
    <n v="4.9000000000000004"/>
    <n v="37.5"/>
    <x v="1"/>
    <x v="27"/>
    <x v="2"/>
  </r>
  <r>
    <s v="CL100028"/>
    <x v="3"/>
    <s v="Tier 2"/>
    <x v="0"/>
    <n v="477890"/>
    <x v="28"/>
    <n v="24"/>
    <n v="97639"/>
    <n v="685"/>
    <x v="1"/>
    <n v="20.7"/>
    <n v="21.4"/>
    <x v="1"/>
    <x v="28"/>
    <x v="0"/>
  </r>
  <r>
    <s v="CL100029"/>
    <x v="4"/>
    <s v="Tier 1"/>
    <x v="1"/>
    <n v="388100"/>
    <x v="29"/>
    <n v="24"/>
    <n v="82383"/>
    <n v="684"/>
    <x v="0"/>
    <n v="14.1"/>
    <n v="38.6"/>
    <x v="1"/>
    <x v="29"/>
    <x v="0"/>
  </r>
  <r>
    <s v="CL100030"/>
    <x v="3"/>
    <s v="Tier 1"/>
    <x v="2"/>
    <n v="120598"/>
    <x v="30"/>
    <n v="12"/>
    <n v="162066"/>
    <n v="807"/>
    <x v="0"/>
    <n v="19.100000000000001"/>
    <n v="25.3"/>
    <x v="0"/>
    <x v="30"/>
    <x v="3"/>
  </r>
  <r>
    <s v="CL100031"/>
    <x v="4"/>
    <s v="Tier 1"/>
    <x v="0"/>
    <n v="255100"/>
    <x v="31"/>
    <n v="48"/>
    <n v="75234"/>
    <n v="767"/>
    <x v="1"/>
    <n v="17.8"/>
    <n v="27.4"/>
    <x v="3"/>
    <x v="31"/>
    <x v="3"/>
  </r>
  <r>
    <s v="CL100032"/>
    <x v="4"/>
    <s v="Tier 1"/>
    <x v="4"/>
    <n v="713521"/>
    <x v="32"/>
    <n v="12"/>
    <n v="206363"/>
    <n v="649"/>
    <x v="1"/>
    <n v="5.2"/>
    <n v="33.9"/>
    <x v="1"/>
    <x v="32"/>
    <x v="1"/>
  </r>
  <r>
    <s v="CL100033"/>
    <x v="6"/>
    <s v="Tier 1"/>
    <x v="2"/>
    <n v="138241"/>
    <x v="33"/>
    <n v="300"/>
    <n v="156674"/>
    <n v="666"/>
    <x v="2"/>
    <n v="14.2"/>
    <n v="8.6999999999999993"/>
    <x v="3"/>
    <x v="33"/>
    <x v="0"/>
  </r>
  <r>
    <s v="CL100034"/>
    <x v="1"/>
    <s v="Tier 1"/>
    <x v="6"/>
    <n v="744452"/>
    <x v="34"/>
    <n v="240"/>
    <n v="33594"/>
    <n v="635"/>
    <x v="0"/>
    <n v="21.7"/>
    <n v="34.200000000000003"/>
    <x v="1"/>
    <x v="34"/>
    <x v="1"/>
  </r>
  <r>
    <s v="CL100035"/>
    <x v="2"/>
    <s v="Tier 1"/>
    <x v="0"/>
    <n v="158124"/>
    <x v="35"/>
    <n v="36"/>
    <n v="35371"/>
    <n v="692"/>
    <x v="1"/>
    <n v="10.8"/>
    <n v="32.700000000000003"/>
    <x v="1"/>
    <x v="35"/>
    <x v="0"/>
  </r>
  <r>
    <s v="CL100036"/>
    <x v="4"/>
    <s v="Tier 3"/>
    <x v="1"/>
    <n v="470065"/>
    <x v="36"/>
    <n v="60"/>
    <n v="75315"/>
    <n v="592"/>
    <x v="0"/>
    <n v="24.2"/>
    <n v="20.399999999999999"/>
    <x v="1"/>
    <x v="36"/>
    <x v="1"/>
  </r>
  <r>
    <s v="CL100037"/>
    <x v="4"/>
    <s v="Tier 1"/>
    <x v="0"/>
    <n v="209923"/>
    <x v="37"/>
    <n v="300"/>
    <n v="155251"/>
    <n v="597"/>
    <x v="3"/>
    <n v="11.3"/>
    <n v="11.4"/>
    <x v="1"/>
    <x v="37"/>
    <x v="1"/>
  </r>
  <r>
    <s v="CL100038"/>
    <x v="3"/>
    <s v="Tier 2"/>
    <x v="5"/>
    <n v="13036"/>
    <x v="38"/>
    <n v="60"/>
    <n v="107526"/>
    <n v="761"/>
    <x v="0"/>
    <n v="3.6"/>
    <n v="11.6"/>
    <x v="1"/>
    <x v="38"/>
    <x v="3"/>
  </r>
  <r>
    <s v="CL100039"/>
    <x v="0"/>
    <s v="Tier 2"/>
    <x v="6"/>
    <n v="561066"/>
    <x v="39"/>
    <n v="24"/>
    <n v="175698"/>
    <n v="692"/>
    <x v="1"/>
    <n v="9.6999999999999993"/>
    <n v="44.9"/>
    <x v="1"/>
    <x v="39"/>
    <x v="0"/>
  </r>
  <r>
    <s v="CL100040"/>
    <x v="4"/>
    <s v="Tier 1"/>
    <x v="1"/>
    <n v="159245"/>
    <x v="40"/>
    <n v="60"/>
    <n v="114005"/>
    <n v="808"/>
    <x v="0"/>
    <n v="23.8"/>
    <n v="35.6"/>
    <x v="3"/>
    <x v="40"/>
    <x v="3"/>
  </r>
  <r>
    <s v="CL100041"/>
    <x v="0"/>
    <s v="Tier 2"/>
    <x v="3"/>
    <n v="690763"/>
    <x v="41"/>
    <n v="60"/>
    <n v="133573"/>
    <n v="750"/>
    <x v="0"/>
    <n v="8"/>
    <n v="13.1"/>
    <x v="1"/>
    <x v="41"/>
    <x v="3"/>
  </r>
  <r>
    <s v="CL100042"/>
    <x v="4"/>
    <s v="Tier 1"/>
    <x v="1"/>
    <n v="207747"/>
    <x v="42"/>
    <n v="240"/>
    <n v="166202"/>
    <n v="768"/>
    <x v="0"/>
    <n v="21.7"/>
    <n v="22.3"/>
    <x v="1"/>
    <x v="42"/>
    <x v="3"/>
  </r>
  <r>
    <s v="CL100043"/>
    <x v="7"/>
    <s v="Tier 3"/>
    <x v="4"/>
    <n v="548088"/>
    <x v="43"/>
    <n v="60"/>
    <n v="165900"/>
    <n v="658"/>
    <x v="0"/>
    <n v="22"/>
    <n v="31.7"/>
    <x v="3"/>
    <x v="43"/>
    <x v="0"/>
  </r>
  <r>
    <s v="CL100044"/>
    <x v="4"/>
    <s v="Tier 1"/>
    <x v="0"/>
    <n v="292516"/>
    <x v="44"/>
    <n v="300"/>
    <n v="85514"/>
    <n v="725"/>
    <x v="0"/>
    <n v="8.8000000000000007"/>
    <n v="41.4"/>
    <x v="0"/>
    <x v="44"/>
    <x v="2"/>
  </r>
  <r>
    <s v="CL100045"/>
    <x v="3"/>
    <s v="Tier 1"/>
    <x v="2"/>
    <n v="328660"/>
    <x v="45"/>
    <n v="36"/>
    <n v="211736"/>
    <n v="761"/>
    <x v="3"/>
    <n v="2.1"/>
    <n v="9.6999999999999993"/>
    <x v="1"/>
    <x v="45"/>
    <x v="3"/>
  </r>
  <r>
    <s v="CL100046"/>
    <x v="4"/>
    <s v="Tier 1"/>
    <x v="0"/>
    <n v="338299"/>
    <x v="46"/>
    <n v="60"/>
    <n v="176955"/>
    <n v="829"/>
    <x v="0"/>
    <n v="18.100000000000001"/>
    <n v="17.5"/>
    <x v="1"/>
    <x v="46"/>
    <x v="3"/>
  </r>
  <r>
    <s v="CL100047"/>
    <x v="0"/>
    <s v="Tier 3"/>
    <x v="3"/>
    <n v="64500"/>
    <x v="47"/>
    <n v="120"/>
    <n v="202131"/>
    <n v="775"/>
    <x v="1"/>
    <n v="7.8"/>
    <n v="43.6"/>
    <x v="3"/>
    <x v="47"/>
    <x v="3"/>
  </r>
  <r>
    <s v="CL100048"/>
    <x v="0"/>
    <s v="Tier 2"/>
    <x v="2"/>
    <n v="172647"/>
    <x v="48"/>
    <n v="60"/>
    <n v="202004"/>
    <n v="650"/>
    <x v="0"/>
    <n v="19.600000000000001"/>
    <n v="8.4"/>
    <x v="0"/>
    <x v="48"/>
    <x v="0"/>
  </r>
  <r>
    <s v="CL100049"/>
    <x v="4"/>
    <s v="Tier 2"/>
    <x v="2"/>
    <n v="241527"/>
    <x v="49"/>
    <n v="60"/>
    <n v="103986"/>
    <n v="827"/>
    <x v="0"/>
    <n v="11.1"/>
    <n v="16.100000000000001"/>
    <x v="1"/>
    <x v="49"/>
    <x v="3"/>
  </r>
  <r>
    <s v="CL100050"/>
    <x v="1"/>
    <s v="Tier 1"/>
    <x v="0"/>
    <n v="440477"/>
    <x v="50"/>
    <n v="12"/>
    <n v="113959"/>
    <n v="725"/>
    <x v="0"/>
    <n v="12.1"/>
    <n v="46.4"/>
    <x v="1"/>
    <x v="50"/>
    <x v="2"/>
  </r>
  <r>
    <s v="CL100051"/>
    <x v="2"/>
    <s v="Tier 2"/>
    <x v="0"/>
    <n v="639947"/>
    <x v="51"/>
    <n v="36"/>
    <n v="30035"/>
    <n v="685"/>
    <x v="0"/>
    <n v="19.399999999999999"/>
    <n v="32.5"/>
    <x v="3"/>
    <x v="51"/>
    <x v="0"/>
  </r>
  <r>
    <s v="CL100052"/>
    <x v="6"/>
    <s v="Tier 1"/>
    <x v="0"/>
    <n v="557004"/>
    <x v="52"/>
    <n v="300"/>
    <n v="137767"/>
    <n v="842"/>
    <x v="0"/>
    <n v="9.6"/>
    <n v="18.5"/>
    <x v="1"/>
    <x v="49"/>
    <x v="3"/>
  </r>
  <r>
    <s v="CL100053"/>
    <x v="7"/>
    <s v="Tier 3"/>
    <x v="0"/>
    <n v="401452"/>
    <x v="53"/>
    <n v="24"/>
    <n v="199817"/>
    <n v="649"/>
    <x v="0"/>
    <n v="11.1"/>
    <n v="10.7"/>
    <x v="2"/>
    <x v="52"/>
    <x v="1"/>
  </r>
  <r>
    <s v="CL100054"/>
    <x v="3"/>
    <s v="Tier 1"/>
    <x v="0"/>
    <n v="414064"/>
    <x v="54"/>
    <n v="12"/>
    <n v="45241"/>
    <n v="772"/>
    <x v="0"/>
    <n v="9.4"/>
    <n v="9.1"/>
    <x v="1"/>
    <x v="53"/>
    <x v="3"/>
  </r>
  <r>
    <s v="CL100055"/>
    <x v="6"/>
    <s v="Tier 1"/>
    <x v="6"/>
    <n v="7352"/>
    <x v="55"/>
    <n v="300"/>
    <n v="80975"/>
    <n v="647"/>
    <x v="0"/>
    <n v="9.1999999999999993"/>
    <n v="17.8"/>
    <x v="0"/>
    <x v="54"/>
    <x v="1"/>
  </r>
  <r>
    <s v="CL100056"/>
    <x v="4"/>
    <s v="Tier 1"/>
    <x v="1"/>
    <n v="138004"/>
    <x v="56"/>
    <n v="48"/>
    <n v="182226"/>
    <n v="631"/>
    <x v="0"/>
    <n v="13.1"/>
    <n v="43.3"/>
    <x v="1"/>
    <x v="29"/>
    <x v="1"/>
  </r>
  <r>
    <s v="CL100057"/>
    <x v="4"/>
    <s v="Tier 1"/>
    <x v="0"/>
    <n v="537844"/>
    <x v="57"/>
    <n v="36"/>
    <n v="184697"/>
    <n v="588"/>
    <x v="0"/>
    <n v="20.2"/>
    <n v="24.6"/>
    <x v="1"/>
    <x v="55"/>
    <x v="1"/>
  </r>
  <r>
    <s v="CL100058"/>
    <x v="4"/>
    <s v="Tier 2"/>
    <x v="1"/>
    <n v="353980"/>
    <x v="58"/>
    <n v="120"/>
    <n v="204022"/>
    <n v="830"/>
    <x v="0"/>
    <n v="9"/>
    <n v="36.799999999999997"/>
    <x v="3"/>
    <x v="56"/>
    <x v="3"/>
  </r>
  <r>
    <s v="CL100059"/>
    <x v="4"/>
    <s v="Tier 1"/>
    <x v="1"/>
    <n v="665858"/>
    <x v="59"/>
    <n v="36"/>
    <n v="84396"/>
    <n v="763"/>
    <x v="3"/>
    <n v="13.1"/>
    <n v="44.7"/>
    <x v="1"/>
    <x v="57"/>
    <x v="3"/>
  </r>
  <r>
    <s v="CL100060"/>
    <x v="0"/>
    <s v="Tier 2"/>
    <x v="4"/>
    <n v="736478"/>
    <x v="60"/>
    <n v="48"/>
    <n v="146920"/>
    <n v="758"/>
    <x v="3"/>
    <n v="16.8"/>
    <n v="24.3"/>
    <x v="0"/>
    <x v="58"/>
    <x v="3"/>
  </r>
  <r>
    <s v="CL100061"/>
    <x v="4"/>
    <s v="Tier 1"/>
    <x v="1"/>
    <n v="55098"/>
    <x v="61"/>
    <n v="48"/>
    <n v="172403"/>
    <n v="777"/>
    <x v="1"/>
    <n v="6.7"/>
    <n v="15.7"/>
    <x v="1"/>
    <x v="59"/>
    <x v="3"/>
  </r>
  <r>
    <s v="CL100062"/>
    <x v="2"/>
    <s v="Tier 2"/>
    <x v="6"/>
    <n v="379313"/>
    <x v="62"/>
    <n v="48"/>
    <n v="114226"/>
    <n v="707"/>
    <x v="0"/>
    <n v="6.9"/>
    <n v="28.7"/>
    <x v="1"/>
    <x v="60"/>
    <x v="2"/>
  </r>
  <r>
    <s v="CL100063"/>
    <x v="4"/>
    <s v="Tier 1"/>
    <x v="1"/>
    <n v="669929"/>
    <x v="63"/>
    <n v="240"/>
    <n v="112719"/>
    <n v="599"/>
    <x v="1"/>
    <n v="23.3"/>
    <n v="44.3"/>
    <x v="1"/>
    <x v="61"/>
    <x v="1"/>
  </r>
  <r>
    <s v="CL100064"/>
    <x v="4"/>
    <s v="Tier 1"/>
    <x v="5"/>
    <n v="252199"/>
    <x v="64"/>
    <n v="24"/>
    <n v="91014"/>
    <n v="644"/>
    <x v="1"/>
    <n v="18.100000000000001"/>
    <n v="40.200000000000003"/>
    <x v="0"/>
    <x v="62"/>
    <x v="1"/>
  </r>
  <r>
    <s v="CL100065"/>
    <x v="0"/>
    <s v="Tier 2"/>
    <x v="3"/>
    <n v="131060"/>
    <x v="65"/>
    <n v="60"/>
    <n v="67346"/>
    <n v="761"/>
    <x v="1"/>
    <n v="14.4"/>
    <n v="10.6"/>
    <x v="1"/>
    <x v="63"/>
    <x v="3"/>
  </r>
  <r>
    <s v="CL100066"/>
    <x v="4"/>
    <s v="Tier 1"/>
    <x v="0"/>
    <n v="192954"/>
    <x v="66"/>
    <n v="36"/>
    <n v="98411"/>
    <n v="820"/>
    <x v="0"/>
    <n v="16.2"/>
    <n v="35.700000000000003"/>
    <x v="1"/>
    <x v="64"/>
    <x v="3"/>
  </r>
  <r>
    <s v="CL100067"/>
    <x v="2"/>
    <s v="Tier 1"/>
    <x v="6"/>
    <n v="730753"/>
    <x v="67"/>
    <n v="300"/>
    <n v="213550"/>
    <n v="603"/>
    <x v="1"/>
    <n v="0.7"/>
    <n v="30.9"/>
    <x v="1"/>
    <x v="65"/>
    <x v="1"/>
  </r>
  <r>
    <s v="CL100068"/>
    <x v="4"/>
    <s v="Tier 3"/>
    <x v="0"/>
    <n v="135544"/>
    <x v="68"/>
    <n v="240"/>
    <n v="171326"/>
    <n v="662"/>
    <x v="1"/>
    <n v="15.5"/>
    <n v="44.3"/>
    <x v="0"/>
    <x v="66"/>
    <x v="0"/>
  </r>
  <r>
    <s v="CL100069"/>
    <x v="8"/>
    <s v="Tier 3"/>
    <x v="2"/>
    <n v="529628"/>
    <x v="69"/>
    <n v="300"/>
    <n v="214806"/>
    <n v="764"/>
    <x v="0"/>
    <n v="12.7"/>
    <n v="12.9"/>
    <x v="0"/>
    <x v="67"/>
    <x v="3"/>
  </r>
  <r>
    <s v="CL100070"/>
    <x v="2"/>
    <s v="Tier 1"/>
    <x v="1"/>
    <n v="704309"/>
    <x v="70"/>
    <n v="60"/>
    <n v="187693"/>
    <n v="678"/>
    <x v="1"/>
    <n v="13.6"/>
    <n v="29.4"/>
    <x v="1"/>
    <x v="68"/>
    <x v="0"/>
  </r>
  <r>
    <s v="CL100071"/>
    <x v="4"/>
    <s v="Tier 1"/>
    <x v="3"/>
    <n v="611590"/>
    <x v="71"/>
    <n v="60"/>
    <n v="104441"/>
    <n v="641"/>
    <x v="0"/>
    <n v="9"/>
    <n v="43.2"/>
    <x v="1"/>
    <x v="69"/>
    <x v="1"/>
  </r>
  <r>
    <s v="CL100072"/>
    <x v="4"/>
    <s v="Tier 2"/>
    <x v="3"/>
    <n v="472243"/>
    <x v="72"/>
    <n v="120"/>
    <n v="74121"/>
    <n v="601"/>
    <x v="0"/>
    <n v="2"/>
    <n v="24.4"/>
    <x v="2"/>
    <x v="70"/>
    <x v="1"/>
  </r>
  <r>
    <s v="CL100073"/>
    <x v="2"/>
    <s v="Tier 1"/>
    <x v="2"/>
    <n v="529426"/>
    <x v="73"/>
    <n v="48"/>
    <n v="88197"/>
    <n v="791"/>
    <x v="0"/>
    <n v="4.8"/>
    <n v="27.3"/>
    <x v="1"/>
    <x v="71"/>
    <x v="3"/>
  </r>
  <r>
    <s v="CL100074"/>
    <x v="3"/>
    <s v="Tier 1"/>
    <x v="2"/>
    <n v="398574"/>
    <x v="24"/>
    <n v="24"/>
    <n v="112577"/>
    <n v="705"/>
    <x v="1"/>
    <n v="23.8"/>
    <n v="10.8"/>
    <x v="3"/>
    <x v="72"/>
    <x v="2"/>
  </r>
  <r>
    <s v="CL100075"/>
    <x v="3"/>
    <s v="Tier 1"/>
    <x v="0"/>
    <n v="648907"/>
    <x v="74"/>
    <n v="120"/>
    <n v="122634"/>
    <n v="621"/>
    <x v="0"/>
    <n v="10.199999999999999"/>
    <n v="19.100000000000001"/>
    <x v="3"/>
    <x v="73"/>
    <x v="1"/>
  </r>
  <r>
    <s v="CL100076"/>
    <x v="2"/>
    <s v="Tier 2"/>
    <x v="0"/>
    <n v="473466"/>
    <x v="75"/>
    <n v="12"/>
    <n v="201503"/>
    <n v="677"/>
    <x v="0"/>
    <n v="11.7"/>
    <n v="21"/>
    <x v="0"/>
    <x v="74"/>
    <x v="0"/>
  </r>
  <r>
    <s v="CL100077"/>
    <x v="4"/>
    <s v="Tier 2"/>
    <x v="1"/>
    <n v="629219"/>
    <x v="76"/>
    <n v="240"/>
    <n v="128211"/>
    <n v="610"/>
    <x v="0"/>
    <n v="1.3"/>
    <n v="45.8"/>
    <x v="1"/>
    <x v="75"/>
    <x v="1"/>
  </r>
  <r>
    <s v="CL100078"/>
    <x v="4"/>
    <s v="Tier 1"/>
    <x v="0"/>
    <n v="161951"/>
    <x v="77"/>
    <n v="240"/>
    <n v="163909"/>
    <n v="737"/>
    <x v="0"/>
    <n v="0.9"/>
    <n v="19.3"/>
    <x v="3"/>
    <x v="76"/>
    <x v="2"/>
  </r>
  <r>
    <s v="CL100079"/>
    <x v="4"/>
    <s v="Tier 1"/>
    <x v="4"/>
    <n v="567060"/>
    <x v="78"/>
    <n v="24"/>
    <n v="208066"/>
    <n v="691"/>
    <x v="0"/>
    <n v="17.899999999999999"/>
    <n v="26.4"/>
    <x v="0"/>
    <x v="77"/>
    <x v="0"/>
  </r>
  <r>
    <s v="CL100080"/>
    <x v="5"/>
    <s v="Tier 1"/>
    <x v="0"/>
    <n v="63478"/>
    <x v="79"/>
    <n v="60"/>
    <n v="171687"/>
    <n v="826"/>
    <x v="1"/>
    <n v="13.5"/>
    <n v="34.9"/>
    <x v="0"/>
    <x v="78"/>
    <x v="3"/>
  </r>
  <r>
    <s v="CL100081"/>
    <x v="3"/>
    <s v="Tier 2"/>
    <x v="5"/>
    <n v="462569"/>
    <x v="80"/>
    <n v="300"/>
    <n v="29466"/>
    <n v="701"/>
    <x v="1"/>
    <n v="12.7"/>
    <n v="14.5"/>
    <x v="1"/>
    <x v="79"/>
    <x v="2"/>
  </r>
  <r>
    <s v="CL100082"/>
    <x v="4"/>
    <s v="Tier 1"/>
    <x v="4"/>
    <n v="556050"/>
    <x v="81"/>
    <n v="240"/>
    <n v="58771"/>
    <n v="786"/>
    <x v="0"/>
    <n v="6.1"/>
    <n v="27.5"/>
    <x v="1"/>
    <x v="80"/>
    <x v="3"/>
  </r>
  <r>
    <s v="CL100083"/>
    <x v="4"/>
    <s v="Tier 1"/>
    <x v="3"/>
    <n v="149355"/>
    <x v="82"/>
    <n v="24"/>
    <n v="111886"/>
    <n v="689"/>
    <x v="0"/>
    <n v="18.600000000000001"/>
    <n v="37.5"/>
    <x v="1"/>
    <x v="81"/>
    <x v="0"/>
  </r>
  <r>
    <s v="CL100084"/>
    <x v="4"/>
    <s v="Tier 2"/>
    <x v="0"/>
    <n v="724282"/>
    <x v="83"/>
    <n v="240"/>
    <n v="93911"/>
    <n v="635"/>
    <x v="0"/>
    <n v="4.2"/>
    <n v="42.7"/>
    <x v="1"/>
    <x v="82"/>
    <x v="1"/>
  </r>
  <r>
    <s v="CL100085"/>
    <x v="4"/>
    <s v="Tier 1"/>
    <x v="3"/>
    <n v="699780"/>
    <x v="84"/>
    <n v="240"/>
    <n v="179818"/>
    <n v="636"/>
    <x v="3"/>
    <n v="4.7"/>
    <n v="33.1"/>
    <x v="0"/>
    <x v="83"/>
    <x v="1"/>
  </r>
  <r>
    <s v="CL100086"/>
    <x v="3"/>
    <s v="Tier 2"/>
    <x v="6"/>
    <n v="498671"/>
    <x v="85"/>
    <n v="48"/>
    <n v="116422"/>
    <n v="693"/>
    <x v="0"/>
    <n v="11.5"/>
    <n v="34.799999999999997"/>
    <x v="1"/>
    <x v="84"/>
    <x v="0"/>
  </r>
  <r>
    <s v="CL100087"/>
    <x v="3"/>
    <s v="Tier 1"/>
    <x v="1"/>
    <n v="604253"/>
    <x v="45"/>
    <n v="12"/>
    <n v="219811"/>
    <n v="777"/>
    <x v="0"/>
    <n v="7.2"/>
    <n v="13.1"/>
    <x v="1"/>
    <x v="85"/>
    <x v="3"/>
  </r>
  <r>
    <s v="CL100088"/>
    <x v="5"/>
    <s v="Tier 1"/>
    <x v="4"/>
    <n v="182912"/>
    <x v="86"/>
    <n v="48"/>
    <n v="101369"/>
    <n v="758"/>
    <x v="0"/>
    <n v="6.2"/>
    <n v="45.8"/>
    <x v="1"/>
    <x v="86"/>
    <x v="3"/>
  </r>
  <r>
    <s v="CL100089"/>
    <x v="0"/>
    <s v="Tier 1"/>
    <x v="2"/>
    <n v="180767"/>
    <x v="87"/>
    <n v="12"/>
    <n v="29893"/>
    <n v="798"/>
    <x v="1"/>
    <n v="16.100000000000001"/>
    <n v="13.3"/>
    <x v="0"/>
    <x v="87"/>
    <x v="3"/>
  </r>
  <r>
    <s v="CL100090"/>
    <x v="4"/>
    <s v="Tier 2"/>
    <x v="0"/>
    <n v="241281"/>
    <x v="88"/>
    <n v="240"/>
    <n v="58573"/>
    <n v="595"/>
    <x v="3"/>
    <n v="16.3"/>
    <n v="39"/>
    <x v="3"/>
    <x v="88"/>
    <x v="1"/>
  </r>
  <r>
    <s v="CL100091"/>
    <x v="3"/>
    <s v="Tier 3"/>
    <x v="1"/>
    <n v="89754"/>
    <x v="89"/>
    <n v="120"/>
    <n v="124907"/>
    <n v="640"/>
    <x v="1"/>
    <n v="20.6"/>
    <n v="18.600000000000001"/>
    <x v="1"/>
    <x v="89"/>
    <x v="1"/>
  </r>
  <r>
    <s v="CL100092"/>
    <x v="2"/>
    <s v="Tier 3"/>
    <x v="1"/>
    <n v="607276"/>
    <x v="90"/>
    <n v="300"/>
    <n v="199946"/>
    <n v="633"/>
    <x v="1"/>
    <n v="10.4"/>
    <n v="45.3"/>
    <x v="1"/>
    <x v="90"/>
    <x v="1"/>
  </r>
  <r>
    <s v="CL100093"/>
    <x v="0"/>
    <s v="Tier 1"/>
    <x v="0"/>
    <n v="456558"/>
    <x v="91"/>
    <n v="60"/>
    <n v="127956"/>
    <n v="747"/>
    <x v="0"/>
    <n v="1.8"/>
    <n v="36.799999999999997"/>
    <x v="1"/>
    <x v="72"/>
    <x v="2"/>
  </r>
  <r>
    <s v="CL100094"/>
    <x v="2"/>
    <s v="Tier 2"/>
    <x v="0"/>
    <n v="512732"/>
    <x v="92"/>
    <n v="240"/>
    <n v="146580"/>
    <n v="605"/>
    <x v="0"/>
    <n v="6.8"/>
    <n v="38.200000000000003"/>
    <x v="0"/>
    <x v="91"/>
    <x v="1"/>
  </r>
  <r>
    <s v="CL100095"/>
    <x v="0"/>
    <s v="Tier 1"/>
    <x v="0"/>
    <n v="155023"/>
    <x v="93"/>
    <n v="12"/>
    <n v="192439"/>
    <n v="644"/>
    <x v="0"/>
    <n v="24.5"/>
    <n v="16.8"/>
    <x v="0"/>
    <x v="92"/>
    <x v="1"/>
  </r>
  <r>
    <s v="CL100096"/>
    <x v="0"/>
    <s v="Tier 1"/>
    <x v="0"/>
    <n v="661667"/>
    <x v="94"/>
    <n v="12"/>
    <n v="180271"/>
    <n v="679"/>
    <x v="0"/>
    <n v="14.9"/>
    <n v="25.7"/>
    <x v="2"/>
    <x v="93"/>
    <x v="0"/>
  </r>
  <r>
    <s v="CL100097"/>
    <x v="0"/>
    <s v="Tier 3"/>
    <x v="0"/>
    <n v="85388"/>
    <x v="95"/>
    <n v="12"/>
    <n v="119404"/>
    <n v="653"/>
    <x v="0"/>
    <n v="17.7"/>
    <n v="32.700000000000003"/>
    <x v="1"/>
    <x v="94"/>
    <x v="0"/>
  </r>
  <r>
    <s v="CL100098"/>
    <x v="4"/>
    <s v="Tier 1"/>
    <x v="5"/>
    <n v="244779"/>
    <x v="96"/>
    <n v="240"/>
    <n v="85724"/>
    <n v="771"/>
    <x v="0"/>
    <n v="0.2"/>
    <n v="38.799999999999997"/>
    <x v="2"/>
    <x v="95"/>
    <x v="3"/>
  </r>
  <r>
    <s v="CL100099"/>
    <x v="4"/>
    <s v="Tier 1"/>
    <x v="1"/>
    <n v="211846"/>
    <x v="97"/>
    <n v="24"/>
    <n v="114133"/>
    <n v="750"/>
    <x v="0"/>
    <n v="13"/>
    <n v="12.2"/>
    <x v="1"/>
    <x v="96"/>
    <x v="3"/>
  </r>
  <r>
    <s v="CL100100"/>
    <x v="4"/>
    <s v="Tier 1"/>
    <x v="5"/>
    <n v="699335"/>
    <x v="98"/>
    <n v="120"/>
    <n v="195477"/>
    <n v="766"/>
    <x v="3"/>
    <n v="0.9"/>
    <n v="46.5"/>
    <x v="0"/>
    <x v="97"/>
    <x v="3"/>
  </r>
  <r>
    <s v="CL100101"/>
    <x v="3"/>
    <s v="Tier 1"/>
    <x v="1"/>
    <n v="137212"/>
    <x v="99"/>
    <n v="24"/>
    <n v="43989"/>
    <n v="602"/>
    <x v="0"/>
    <n v="14.2"/>
    <n v="43.6"/>
    <x v="1"/>
    <x v="98"/>
    <x v="1"/>
  </r>
  <r>
    <s v="CL100102"/>
    <x v="4"/>
    <s v="Tier 1"/>
    <x v="0"/>
    <n v="417811"/>
    <x v="100"/>
    <n v="60"/>
    <n v="56931"/>
    <n v="760"/>
    <x v="1"/>
    <n v="23"/>
    <n v="18.8"/>
    <x v="3"/>
    <x v="99"/>
    <x v="3"/>
  </r>
  <r>
    <s v="CL100103"/>
    <x v="0"/>
    <s v="Tier 2"/>
    <x v="1"/>
    <n v="605309"/>
    <x v="101"/>
    <n v="240"/>
    <n v="37290"/>
    <n v="687"/>
    <x v="1"/>
    <n v="24.2"/>
    <n v="40.9"/>
    <x v="0"/>
    <x v="100"/>
    <x v="0"/>
  </r>
  <r>
    <s v="CL100104"/>
    <x v="7"/>
    <s v="Tier 1"/>
    <x v="1"/>
    <n v="164380"/>
    <x v="102"/>
    <n v="12"/>
    <n v="197439"/>
    <n v="741"/>
    <x v="0"/>
    <n v="13.5"/>
    <n v="28.7"/>
    <x v="0"/>
    <x v="101"/>
    <x v="2"/>
  </r>
  <r>
    <s v="CL100105"/>
    <x v="4"/>
    <s v="Tier 3"/>
    <x v="0"/>
    <n v="49789"/>
    <x v="103"/>
    <n v="120"/>
    <n v="149136"/>
    <n v="785"/>
    <x v="1"/>
    <n v="11.5"/>
    <n v="26.5"/>
    <x v="3"/>
    <x v="102"/>
    <x v="3"/>
  </r>
  <r>
    <s v="CL100106"/>
    <x v="0"/>
    <s v="Tier 3"/>
    <x v="4"/>
    <n v="31086"/>
    <x v="104"/>
    <n v="120"/>
    <n v="107878"/>
    <n v="657"/>
    <x v="0"/>
    <n v="23.6"/>
    <n v="20.6"/>
    <x v="1"/>
    <x v="103"/>
    <x v="0"/>
  </r>
  <r>
    <s v="CL100107"/>
    <x v="2"/>
    <s v="Tier 1"/>
    <x v="0"/>
    <n v="284003"/>
    <x v="105"/>
    <n v="36"/>
    <n v="118477"/>
    <n v="595"/>
    <x v="1"/>
    <n v="16.8"/>
    <n v="31.2"/>
    <x v="1"/>
    <x v="104"/>
    <x v="1"/>
  </r>
  <r>
    <s v="CL100108"/>
    <x v="4"/>
    <s v="Tier 1"/>
    <x v="4"/>
    <n v="536972"/>
    <x v="106"/>
    <n v="60"/>
    <n v="154299"/>
    <n v="675"/>
    <x v="0"/>
    <n v="1.6"/>
    <n v="37.200000000000003"/>
    <x v="3"/>
    <x v="105"/>
    <x v="0"/>
  </r>
  <r>
    <s v="CL100109"/>
    <x v="4"/>
    <s v="Tier 1"/>
    <x v="4"/>
    <n v="96088"/>
    <x v="107"/>
    <n v="300"/>
    <n v="189205"/>
    <n v="726"/>
    <x v="2"/>
    <n v="11.6"/>
    <n v="24.4"/>
    <x v="1"/>
    <x v="36"/>
    <x v="2"/>
  </r>
  <r>
    <s v="CL100110"/>
    <x v="4"/>
    <s v="Tier 2"/>
    <x v="0"/>
    <n v="399423"/>
    <x v="2"/>
    <n v="300"/>
    <n v="133686"/>
    <n v="581"/>
    <x v="0"/>
    <n v="6"/>
    <n v="33.200000000000003"/>
    <x v="1"/>
    <x v="106"/>
    <x v="1"/>
  </r>
  <r>
    <s v="CL100111"/>
    <x v="4"/>
    <s v="Tier 1"/>
    <x v="0"/>
    <n v="575387"/>
    <x v="108"/>
    <n v="120"/>
    <n v="186124"/>
    <n v="589"/>
    <x v="0"/>
    <n v="11.7"/>
    <n v="36"/>
    <x v="1"/>
    <x v="107"/>
    <x v="1"/>
  </r>
  <r>
    <s v="CL100112"/>
    <x v="6"/>
    <s v="Tier 2"/>
    <x v="2"/>
    <n v="595381"/>
    <x v="109"/>
    <n v="240"/>
    <n v="135286"/>
    <n v="704"/>
    <x v="3"/>
    <n v="11.4"/>
    <n v="36.4"/>
    <x v="0"/>
    <x v="108"/>
    <x v="2"/>
  </r>
  <r>
    <s v="CL100113"/>
    <x v="2"/>
    <s v="Tier 1"/>
    <x v="1"/>
    <n v="165761"/>
    <x v="110"/>
    <n v="12"/>
    <n v="68475"/>
    <n v="660"/>
    <x v="0"/>
    <n v="14.6"/>
    <n v="10.1"/>
    <x v="1"/>
    <x v="109"/>
    <x v="0"/>
  </r>
  <r>
    <s v="CL100114"/>
    <x v="3"/>
    <s v="Tier 2"/>
    <x v="0"/>
    <n v="543181"/>
    <x v="111"/>
    <n v="12"/>
    <n v="110666"/>
    <n v="719"/>
    <x v="1"/>
    <n v="8.9"/>
    <n v="42.4"/>
    <x v="1"/>
    <x v="110"/>
    <x v="2"/>
  </r>
  <r>
    <s v="CL100115"/>
    <x v="5"/>
    <s v="Tier 1"/>
    <x v="5"/>
    <n v="496024"/>
    <x v="112"/>
    <n v="120"/>
    <n v="124622"/>
    <n v="729"/>
    <x v="1"/>
    <n v="4.0999999999999996"/>
    <n v="26.3"/>
    <x v="1"/>
    <x v="111"/>
    <x v="2"/>
  </r>
  <r>
    <s v="CL100116"/>
    <x v="2"/>
    <s v="Tier 1"/>
    <x v="0"/>
    <n v="595706"/>
    <x v="113"/>
    <n v="24"/>
    <n v="216728"/>
    <n v="708"/>
    <x v="1"/>
    <n v="12.6"/>
    <n v="18.5"/>
    <x v="1"/>
    <x v="112"/>
    <x v="2"/>
  </r>
  <r>
    <s v="CL100117"/>
    <x v="4"/>
    <s v="Tier 3"/>
    <x v="4"/>
    <n v="130074"/>
    <x v="114"/>
    <n v="60"/>
    <n v="163705"/>
    <n v="818"/>
    <x v="2"/>
    <n v="20.8"/>
    <n v="17.7"/>
    <x v="3"/>
    <x v="113"/>
    <x v="3"/>
  </r>
  <r>
    <s v="CL100118"/>
    <x v="7"/>
    <s v="Tier 2"/>
    <x v="5"/>
    <n v="135351"/>
    <x v="115"/>
    <n v="12"/>
    <n v="176376"/>
    <n v="637"/>
    <x v="2"/>
    <n v="16.600000000000001"/>
    <n v="27.3"/>
    <x v="2"/>
    <x v="53"/>
    <x v="1"/>
  </r>
  <r>
    <s v="CL100119"/>
    <x v="0"/>
    <s v="Tier 1"/>
    <x v="0"/>
    <n v="720371"/>
    <x v="116"/>
    <n v="120"/>
    <n v="135573"/>
    <n v="777"/>
    <x v="0"/>
    <n v="8.5"/>
    <n v="43.5"/>
    <x v="0"/>
    <x v="114"/>
    <x v="3"/>
  </r>
  <r>
    <s v="CL100120"/>
    <x v="2"/>
    <s v="Tier 3"/>
    <x v="0"/>
    <n v="43635"/>
    <x v="117"/>
    <n v="12"/>
    <n v="74546"/>
    <n v="790"/>
    <x v="1"/>
    <n v="23.4"/>
    <n v="23.1"/>
    <x v="1"/>
    <x v="115"/>
    <x v="3"/>
  </r>
  <r>
    <s v="CL100121"/>
    <x v="7"/>
    <s v="Tier 1"/>
    <x v="0"/>
    <n v="100071"/>
    <x v="98"/>
    <n v="300"/>
    <n v="35008"/>
    <n v="624"/>
    <x v="1"/>
    <n v="22.8"/>
    <n v="38"/>
    <x v="3"/>
    <x v="116"/>
    <x v="1"/>
  </r>
  <r>
    <s v="CL100122"/>
    <x v="4"/>
    <s v="Tier 3"/>
    <x v="0"/>
    <n v="470918"/>
    <x v="118"/>
    <n v="120"/>
    <n v="76291"/>
    <n v="676"/>
    <x v="1"/>
    <n v="5.2"/>
    <n v="11.9"/>
    <x v="1"/>
    <x v="117"/>
    <x v="0"/>
  </r>
  <r>
    <s v="CL100123"/>
    <x v="4"/>
    <s v="Tier 2"/>
    <x v="0"/>
    <n v="373377"/>
    <x v="119"/>
    <n v="60"/>
    <n v="186477"/>
    <n v="602"/>
    <x v="0"/>
    <n v="1"/>
    <n v="27"/>
    <x v="1"/>
    <x v="118"/>
    <x v="1"/>
  </r>
  <r>
    <s v="CL100124"/>
    <x v="4"/>
    <s v="Tier 1"/>
    <x v="4"/>
    <n v="602093"/>
    <x v="120"/>
    <n v="120"/>
    <n v="64386"/>
    <n v="623"/>
    <x v="1"/>
    <n v="18.5"/>
    <n v="47.7"/>
    <x v="2"/>
    <x v="119"/>
    <x v="1"/>
  </r>
  <r>
    <s v="CL100125"/>
    <x v="0"/>
    <s v="Tier 1"/>
    <x v="0"/>
    <n v="426280"/>
    <x v="121"/>
    <n v="36"/>
    <n v="118909"/>
    <n v="606"/>
    <x v="2"/>
    <n v="20.7"/>
    <n v="38.799999999999997"/>
    <x v="0"/>
    <x v="120"/>
    <x v="1"/>
  </r>
  <r>
    <s v="CL100126"/>
    <x v="2"/>
    <s v="Tier 1"/>
    <x v="1"/>
    <n v="346207"/>
    <x v="122"/>
    <n v="120"/>
    <n v="179899"/>
    <n v="676"/>
    <x v="3"/>
    <n v="24.2"/>
    <n v="16.399999999999999"/>
    <x v="0"/>
    <x v="121"/>
    <x v="0"/>
  </r>
  <r>
    <s v="CL100127"/>
    <x v="5"/>
    <s v="Tier 2"/>
    <x v="5"/>
    <n v="269598"/>
    <x v="123"/>
    <n v="120"/>
    <n v="61040"/>
    <n v="615"/>
    <x v="0"/>
    <n v="22.2"/>
    <n v="28.1"/>
    <x v="0"/>
    <x v="19"/>
    <x v="1"/>
  </r>
  <r>
    <s v="CL100128"/>
    <x v="4"/>
    <s v="Tier 2"/>
    <x v="2"/>
    <n v="288022"/>
    <x v="124"/>
    <n v="240"/>
    <n v="88354"/>
    <n v="688"/>
    <x v="0"/>
    <n v="15"/>
    <n v="17.3"/>
    <x v="1"/>
    <x v="122"/>
    <x v="0"/>
  </r>
  <r>
    <s v="CL100129"/>
    <x v="0"/>
    <s v="Tier 1"/>
    <x v="4"/>
    <n v="187170"/>
    <x v="34"/>
    <n v="300"/>
    <n v="106543"/>
    <n v="634"/>
    <x v="0"/>
    <n v="13.3"/>
    <n v="24.4"/>
    <x v="1"/>
    <x v="123"/>
    <x v="1"/>
  </r>
  <r>
    <s v="CL100130"/>
    <x v="0"/>
    <s v="Tier 1"/>
    <x v="0"/>
    <n v="198226"/>
    <x v="125"/>
    <n v="60"/>
    <n v="46157"/>
    <n v="771"/>
    <x v="1"/>
    <n v="0.7"/>
    <n v="39.200000000000003"/>
    <x v="0"/>
    <x v="124"/>
    <x v="3"/>
  </r>
  <r>
    <s v="CL100131"/>
    <x v="4"/>
    <s v="Tier 3"/>
    <x v="4"/>
    <n v="149063"/>
    <x v="67"/>
    <n v="240"/>
    <n v="63315"/>
    <n v="798"/>
    <x v="1"/>
    <n v="6.2"/>
    <n v="38.799999999999997"/>
    <x v="1"/>
    <x v="125"/>
    <x v="3"/>
  </r>
  <r>
    <s v="CL100132"/>
    <x v="4"/>
    <s v="Tier 3"/>
    <x v="1"/>
    <n v="597632"/>
    <x v="126"/>
    <n v="120"/>
    <n v="63932"/>
    <n v="764"/>
    <x v="0"/>
    <n v="11.5"/>
    <n v="17.100000000000001"/>
    <x v="1"/>
    <x v="126"/>
    <x v="3"/>
  </r>
  <r>
    <s v="CL100133"/>
    <x v="4"/>
    <s v="Tier 2"/>
    <x v="1"/>
    <n v="565881"/>
    <x v="127"/>
    <n v="60"/>
    <n v="180236"/>
    <n v="648"/>
    <x v="0"/>
    <n v="15.7"/>
    <n v="44.9"/>
    <x v="0"/>
    <x v="127"/>
    <x v="1"/>
  </r>
  <r>
    <s v="CL100134"/>
    <x v="6"/>
    <s v="Tier 1"/>
    <x v="0"/>
    <n v="565592"/>
    <x v="128"/>
    <n v="36"/>
    <n v="173486"/>
    <n v="709"/>
    <x v="0"/>
    <n v="13.9"/>
    <n v="31.7"/>
    <x v="0"/>
    <x v="128"/>
    <x v="2"/>
  </r>
  <r>
    <s v="CL100135"/>
    <x v="4"/>
    <s v="Tier 1"/>
    <x v="3"/>
    <n v="428602"/>
    <x v="129"/>
    <n v="60"/>
    <n v="173399"/>
    <n v="634"/>
    <x v="0"/>
    <n v="18.600000000000001"/>
    <n v="23.2"/>
    <x v="1"/>
    <x v="129"/>
    <x v="1"/>
  </r>
  <r>
    <s v="CL100136"/>
    <x v="0"/>
    <s v="Tier 1"/>
    <x v="1"/>
    <n v="715580"/>
    <x v="130"/>
    <n v="12"/>
    <n v="141880"/>
    <n v="676"/>
    <x v="3"/>
    <n v="7"/>
    <n v="28.1"/>
    <x v="0"/>
    <x v="130"/>
    <x v="0"/>
  </r>
  <r>
    <s v="CL100137"/>
    <x v="3"/>
    <s v="Tier 3"/>
    <x v="0"/>
    <n v="118613"/>
    <x v="127"/>
    <n v="240"/>
    <n v="160018"/>
    <n v="666"/>
    <x v="1"/>
    <n v="14.1"/>
    <n v="32.200000000000003"/>
    <x v="3"/>
    <x v="131"/>
    <x v="0"/>
  </r>
  <r>
    <s v="CL100138"/>
    <x v="0"/>
    <s v="Tier 1"/>
    <x v="0"/>
    <n v="729698"/>
    <x v="131"/>
    <n v="60"/>
    <n v="42693"/>
    <n v="698"/>
    <x v="0"/>
    <n v="2.2000000000000002"/>
    <n v="30.4"/>
    <x v="0"/>
    <x v="132"/>
    <x v="0"/>
  </r>
  <r>
    <s v="CL100139"/>
    <x v="1"/>
    <s v="Tier 2"/>
    <x v="1"/>
    <n v="492505"/>
    <x v="132"/>
    <n v="300"/>
    <n v="55241"/>
    <n v="787"/>
    <x v="0"/>
    <n v="10.3"/>
    <n v="27.5"/>
    <x v="1"/>
    <x v="133"/>
    <x v="3"/>
  </r>
  <r>
    <s v="CL100140"/>
    <x v="1"/>
    <s v="Tier 1"/>
    <x v="3"/>
    <n v="419299"/>
    <x v="133"/>
    <n v="36"/>
    <n v="143194"/>
    <n v="733"/>
    <x v="0"/>
    <n v="18.8"/>
    <n v="28.2"/>
    <x v="1"/>
    <x v="134"/>
    <x v="2"/>
  </r>
  <r>
    <s v="CL100141"/>
    <x v="4"/>
    <s v="Tier 2"/>
    <x v="2"/>
    <n v="547642"/>
    <x v="134"/>
    <n v="48"/>
    <n v="123790"/>
    <n v="614"/>
    <x v="2"/>
    <n v="17.3"/>
    <n v="15.1"/>
    <x v="1"/>
    <x v="135"/>
    <x v="1"/>
  </r>
  <r>
    <s v="CL100142"/>
    <x v="0"/>
    <s v="Tier 2"/>
    <x v="2"/>
    <n v="289334"/>
    <x v="135"/>
    <n v="120"/>
    <n v="174612"/>
    <n v="658"/>
    <x v="0"/>
    <n v="24.8"/>
    <n v="40.5"/>
    <x v="1"/>
    <x v="136"/>
    <x v="0"/>
  </r>
  <r>
    <s v="CL100143"/>
    <x v="4"/>
    <s v="Tier 3"/>
    <x v="0"/>
    <n v="535430"/>
    <x v="136"/>
    <n v="60"/>
    <n v="100255"/>
    <n v="646"/>
    <x v="0"/>
    <n v="6.9"/>
    <n v="29.7"/>
    <x v="1"/>
    <x v="137"/>
    <x v="1"/>
  </r>
  <r>
    <s v="CL100144"/>
    <x v="4"/>
    <s v="Tier 1"/>
    <x v="1"/>
    <n v="426614"/>
    <x v="137"/>
    <n v="120"/>
    <n v="200275"/>
    <n v="613"/>
    <x v="0"/>
    <n v="12.5"/>
    <n v="13.2"/>
    <x v="1"/>
    <x v="138"/>
    <x v="1"/>
  </r>
  <r>
    <s v="CL100145"/>
    <x v="4"/>
    <s v="Tier 1"/>
    <x v="1"/>
    <n v="188043"/>
    <x v="138"/>
    <n v="24"/>
    <n v="184153"/>
    <n v="676"/>
    <x v="1"/>
    <n v="8.1999999999999993"/>
    <n v="38.6"/>
    <x v="1"/>
    <x v="139"/>
    <x v="0"/>
  </r>
  <r>
    <s v="CL100146"/>
    <x v="3"/>
    <s v="Tier 1"/>
    <x v="0"/>
    <n v="713770"/>
    <x v="139"/>
    <n v="12"/>
    <n v="39350"/>
    <n v="748"/>
    <x v="1"/>
    <n v="11"/>
    <n v="45.3"/>
    <x v="3"/>
    <x v="140"/>
    <x v="2"/>
  </r>
  <r>
    <s v="CL100147"/>
    <x v="0"/>
    <s v="Tier 3"/>
    <x v="0"/>
    <n v="155575"/>
    <x v="140"/>
    <n v="240"/>
    <n v="214584"/>
    <n v="748"/>
    <x v="1"/>
    <n v="21.4"/>
    <n v="45.9"/>
    <x v="1"/>
    <x v="141"/>
    <x v="2"/>
  </r>
  <r>
    <s v="CL100148"/>
    <x v="4"/>
    <s v="Tier 3"/>
    <x v="2"/>
    <n v="130438"/>
    <x v="64"/>
    <n v="12"/>
    <n v="84809"/>
    <n v="730"/>
    <x v="0"/>
    <n v="17.100000000000001"/>
    <n v="22.8"/>
    <x v="0"/>
    <x v="142"/>
    <x v="2"/>
  </r>
  <r>
    <s v="CL100149"/>
    <x v="4"/>
    <s v="Tier 2"/>
    <x v="0"/>
    <n v="577744"/>
    <x v="141"/>
    <n v="24"/>
    <n v="129894"/>
    <n v="650"/>
    <x v="0"/>
    <n v="22.1"/>
    <n v="13.4"/>
    <x v="0"/>
    <x v="143"/>
    <x v="0"/>
  </r>
  <r>
    <s v="CL100150"/>
    <x v="7"/>
    <s v="Tier 2"/>
    <x v="1"/>
    <n v="629455"/>
    <x v="142"/>
    <n v="24"/>
    <n v="125557"/>
    <n v="582"/>
    <x v="0"/>
    <n v="5.0999999999999996"/>
    <n v="28.7"/>
    <x v="1"/>
    <x v="144"/>
    <x v="1"/>
  </r>
  <r>
    <s v="CL100151"/>
    <x v="4"/>
    <s v="Tier 2"/>
    <x v="0"/>
    <n v="269528"/>
    <x v="143"/>
    <n v="240"/>
    <n v="201904"/>
    <n v="611"/>
    <x v="1"/>
    <n v="21.8"/>
    <n v="12.5"/>
    <x v="2"/>
    <x v="145"/>
    <x v="1"/>
  </r>
  <r>
    <s v="CL100152"/>
    <x v="4"/>
    <s v="Tier 1"/>
    <x v="0"/>
    <n v="198392"/>
    <x v="144"/>
    <n v="60"/>
    <n v="187441"/>
    <n v="661"/>
    <x v="0"/>
    <n v="1.5"/>
    <n v="45.4"/>
    <x v="0"/>
    <x v="45"/>
    <x v="0"/>
  </r>
  <r>
    <s v="CL100153"/>
    <x v="0"/>
    <s v="Tier 3"/>
    <x v="0"/>
    <n v="413288"/>
    <x v="145"/>
    <n v="24"/>
    <n v="59728"/>
    <n v="622"/>
    <x v="0"/>
    <n v="22.2"/>
    <n v="15.3"/>
    <x v="1"/>
    <x v="146"/>
    <x v="1"/>
  </r>
  <r>
    <s v="CL100154"/>
    <x v="8"/>
    <s v="Tier 1"/>
    <x v="5"/>
    <n v="107239"/>
    <x v="105"/>
    <n v="48"/>
    <n v="45576"/>
    <n v="684"/>
    <x v="3"/>
    <n v="8.1999999999999993"/>
    <n v="18.100000000000001"/>
    <x v="0"/>
    <x v="147"/>
    <x v="0"/>
  </r>
  <r>
    <s v="CL100155"/>
    <x v="4"/>
    <s v="Tier 1"/>
    <x v="2"/>
    <n v="640719"/>
    <x v="146"/>
    <n v="120"/>
    <n v="188073"/>
    <n v="580"/>
    <x v="3"/>
    <n v="7.9"/>
    <n v="24.3"/>
    <x v="1"/>
    <x v="148"/>
    <x v="1"/>
  </r>
  <r>
    <s v="CL100156"/>
    <x v="3"/>
    <s v="Tier 2"/>
    <x v="5"/>
    <n v="569798"/>
    <x v="147"/>
    <n v="120"/>
    <n v="111384"/>
    <n v="640"/>
    <x v="0"/>
    <n v="12.8"/>
    <n v="23.3"/>
    <x v="0"/>
    <x v="149"/>
    <x v="1"/>
  </r>
  <r>
    <s v="CL100157"/>
    <x v="2"/>
    <s v="Tier 1"/>
    <x v="1"/>
    <n v="709293"/>
    <x v="148"/>
    <n v="36"/>
    <n v="28390"/>
    <n v="849"/>
    <x v="0"/>
    <n v="23.5"/>
    <n v="39.799999999999997"/>
    <x v="1"/>
    <x v="150"/>
    <x v="3"/>
  </r>
  <r>
    <s v="CL100158"/>
    <x v="4"/>
    <s v="Tier 1"/>
    <x v="0"/>
    <n v="335170"/>
    <x v="50"/>
    <n v="300"/>
    <n v="73436"/>
    <n v="759"/>
    <x v="0"/>
    <n v="1.2"/>
    <n v="26.3"/>
    <x v="3"/>
    <x v="151"/>
    <x v="3"/>
  </r>
  <r>
    <s v="CL100159"/>
    <x v="3"/>
    <s v="Tier 2"/>
    <x v="1"/>
    <n v="126668"/>
    <x v="149"/>
    <n v="24"/>
    <n v="39569"/>
    <n v="803"/>
    <x v="1"/>
    <n v="8.8000000000000007"/>
    <n v="14.8"/>
    <x v="1"/>
    <x v="114"/>
    <x v="3"/>
  </r>
  <r>
    <s v="CL100160"/>
    <x v="0"/>
    <s v="Tier 1"/>
    <x v="1"/>
    <n v="423734"/>
    <x v="34"/>
    <n v="24"/>
    <n v="172101"/>
    <n v="585"/>
    <x v="1"/>
    <n v="21.4"/>
    <n v="18.7"/>
    <x v="0"/>
    <x v="152"/>
    <x v="1"/>
  </r>
  <r>
    <s v="CL100161"/>
    <x v="3"/>
    <s v="Tier 2"/>
    <x v="3"/>
    <n v="553333"/>
    <x v="150"/>
    <n v="48"/>
    <n v="50490"/>
    <n v="682"/>
    <x v="0"/>
    <n v="9.9"/>
    <n v="28.4"/>
    <x v="1"/>
    <x v="153"/>
    <x v="0"/>
  </r>
  <r>
    <s v="CL100162"/>
    <x v="3"/>
    <s v="Tier 1"/>
    <x v="0"/>
    <n v="186948"/>
    <x v="91"/>
    <n v="12"/>
    <n v="73875"/>
    <n v="589"/>
    <x v="0"/>
    <n v="5"/>
    <n v="13.9"/>
    <x v="0"/>
    <x v="154"/>
    <x v="1"/>
  </r>
  <r>
    <s v="CL100163"/>
    <x v="0"/>
    <s v="Tier 1"/>
    <x v="1"/>
    <n v="490662"/>
    <x v="151"/>
    <n v="12"/>
    <n v="33867"/>
    <n v="650"/>
    <x v="1"/>
    <n v="10.6"/>
    <n v="32.5"/>
    <x v="0"/>
    <x v="155"/>
    <x v="0"/>
  </r>
  <r>
    <s v="CL100164"/>
    <x v="4"/>
    <s v="Tier 1"/>
    <x v="0"/>
    <n v="619390"/>
    <x v="152"/>
    <n v="120"/>
    <n v="108820"/>
    <n v="669"/>
    <x v="3"/>
    <n v="9.6"/>
    <n v="30.6"/>
    <x v="1"/>
    <x v="156"/>
    <x v="0"/>
  </r>
  <r>
    <s v="CL100165"/>
    <x v="2"/>
    <s v="Tier 1"/>
    <x v="0"/>
    <n v="319063"/>
    <x v="153"/>
    <n v="120"/>
    <n v="127515"/>
    <n v="805"/>
    <x v="0"/>
    <n v="22.9"/>
    <n v="36.6"/>
    <x v="0"/>
    <x v="157"/>
    <x v="3"/>
  </r>
  <r>
    <s v="CL100166"/>
    <x v="4"/>
    <s v="Tier 2"/>
    <x v="2"/>
    <n v="628729"/>
    <x v="154"/>
    <n v="60"/>
    <n v="37121"/>
    <n v="737"/>
    <x v="0"/>
    <n v="19"/>
    <n v="45.5"/>
    <x v="1"/>
    <x v="158"/>
    <x v="2"/>
  </r>
  <r>
    <s v="CL100167"/>
    <x v="4"/>
    <s v="Tier 1"/>
    <x v="1"/>
    <n v="163175"/>
    <x v="155"/>
    <n v="240"/>
    <n v="29539"/>
    <n v="807"/>
    <x v="0"/>
    <n v="12.6"/>
    <n v="44.5"/>
    <x v="3"/>
    <x v="159"/>
    <x v="3"/>
  </r>
  <r>
    <s v="CL100168"/>
    <x v="4"/>
    <s v="Tier 2"/>
    <x v="0"/>
    <n v="254877"/>
    <x v="156"/>
    <n v="300"/>
    <n v="176099"/>
    <n v="705"/>
    <x v="0"/>
    <n v="24.7"/>
    <n v="45.8"/>
    <x v="1"/>
    <x v="160"/>
    <x v="2"/>
  </r>
  <r>
    <s v="CL100169"/>
    <x v="3"/>
    <s v="Tier 1"/>
    <x v="1"/>
    <n v="141917"/>
    <x v="157"/>
    <n v="48"/>
    <n v="155402"/>
    <n v="788"/>
    <x v="3"/>
    <n v="11.6"/>
    <n v="17.8"/>
    <x v="3"/>
    <x v="161"/>
    <x v="3"/>
  </r>
  <r>
    <s v="CL100170"/>
    <x v="3"/>
    <s v="Tier 2"/>
    <x v="1"/>
    <n v="222770"/>
    <x v="158"/>
    <n v="240"/>
    <n v="102229"/>
    <n v="676"/>
    <x v="1"/>
    <n v="1.5"/>
    <n v="13.3"/>
    <x v="3"/>
    <x v="162"/>
    <x v="0"/>
  </r>
  <r>
    <s v="CL100171"/>
    <x v="4"/>
    <s v="Tier 3"/>
    <x v="2"/>
    <n v="647613"/>
    <x v="77"/>
    <n v="240"/>
    <n v="167993"/>
    <n v="653"/>
    <x v="1"/>
    <n v="6.6"/>
    <n v="20.100000000000001"/>
    <x v="1"/>
    <x v="163"/>
    <x v="0"/>
  </r>
  <r>
    <s v="CL100172"/>
    <x v="0"/>
    <s v="Tier 2"/>
    <x v="6"/>
    <n v="548625"/>
    <x v="159"/>
    <n v="36"/>
    <n v="78435"/>
    <n v="694"/>
    <x v="0"/>
    <n v="10.9"/>
    <n v="43.8"/>
    <x v="1"/>
    <x v="164"/>
    <x v="0"/>
  </r>
  <r>
    <s v="CL100173"/>
    <x v="4"/>
    <s v="Tier 1"/>
    <x v="5"/>
    <n v="682673"/>
    <x v="52"/>
    <n v="240"/>
    <n v="169382"/>
    <n v="770"/>
    <x v="3"/>
    <n v="3.9"/>
    <n v="46.9"/>
    <x v="1"/>
    <x v="165"/>
    <x v="3"/>
  </r>
  <r>
    <s v="CL100174"/>
    <x v="3"/>
    <s v="Tier 1"/>
    <x v="2"/>
    <n v="345093"/>
    <x v="160"/>
    <n v="36"/>
    <n v="91965"/>
    <n v="749"/>
    <x v="0"/>
    <n v="23.7"/>
    <n v="42.4"/>
    <x v="3"/>
    <x v="56"/>
    <x v="2"/>
  </r>
  <r>
    <s v="CL100175"/>
    <x v="4"/>
    <s v="Tier 1"/>
    <x v="0"/>
    <n v="318295"/>
    <x v="161"/>
    <n v="240"/>
    <n v="139048"/>
    <n v="783"/>
    <x v="0"/>
    <n v="19.2"/>
    <n v="12.4"/>
    <x v="1"/>
    <x v="166"/>
    <x v="3"/>
  </r>
  <r>
    <s v="CL100176"/>
    <x v="3"/>
    <s v="Tier 2"/>
    <x v="4"/>
    <n v="672304"/>
    <x v="162"/>
    <n v="48"/>
    <n v="124444"/>
    <n v="635"/>
    <x v="0"/>
    <n v="6.7"/>
    <n v="45.9"/>
    <x v="0"/>
    <x v="74"/>
    <x v="1"/>
  </r>
  <r>
    <s v="CL100177"/>
    <x v="0"/>
    <s v="Tier 1"/>
    <x v="1"/>
    <n v="610730"/>
    <x v="163"/>
    <n v="36"/>
    <n v="97922"/>
    <n v="787"/>
    <x v="0"/>
    <n v="14.8"/>
    <n v="24.9"/>
    <x v="3"/>
    <x v="167"/>
    <x v="3"/>
  </r>
  <r>
    <s v="CL100178"/>
    <x v="6"/>
    <s v="Tier 1"/>
    <x v="0"/>
    <n v="54847"/>
    <x v="164"/>
    <n v="12"/>
    <n v="125799"/>
    <n v="620"/>
    <x v="1"/>
    <n v="18"/>
    <n v="8.4"/>
    <x v="1"/>
    <x v="168"/>
    <x v="1"/>
  </r>
  <r>
    <s v="CL100179"/>
    <x v="4"/>
    <s v="Tier 2"/>
    <x v="3"/>
    <n v="63653"/>
    <x v="165"/>
    <n v="36"/>
    <n v="121948"/>
    <n v="611"/>
    <x v="0"/>
    <n v="23.5"/>
    <n v="25.7"/>
    <x v="0"/>
    <x v="169"/>
    <x v="1"/>
  </r>
  <r>
    <s v="CL100180"/>
    <x v="4"/>
    <s v="Tier 1"/>
    <x v="0"/>
    <n v="746432"/>
    <x v="166"/>
    <n v="36"/>
    <n v="171314"/>
    <n v="594"/>
    <x v="0"/>
    <n v="22"/>
    <n v="9.8000000000000007"/>
    <x v="1"/>
    <x v="170"/>
    <x v="1"/>
  </r>
  <r>
    <s v="CL100181"/>
    <x v="4"/>
    <s v="Tier 2"/>
    <x v="6"/>
    <n v="323766"/>
    <x v="167"/>
    <n v="48"/>
    <n v="36947"/>
    <n v="641"/>
    <x v="0"/>
    <n v="12.9"/>
    <n v="29.8"/>
    <x v="1"/>
    <x v="171"/>
    <x v="1"/>
  </r>
  <r>
    <s v="CL100182"/>
    <x v="6"/>
    <s v="Tier 1"/>
    <x v="1"/>
    <n v="294954"/>
    <x v="168"/>
    <n v="48"/>
    <n v="76785"/>
    <n v="734"/>
    <x v="0"/>
    <n v="19.399999999999999"/>
    <n v="21.5"/>
    <x v="0"/>
    <x v="172"/>
    <x v="2"/>
  </r>
  <r>
    <s v="CL100183"/>
    <x v="5"/>
    <s v="Tier 1"/>
    <x v="4"/>
    <n v="82842"/>
    <x v="169"/>
    <n v="36"/>
    <n v="147963"/>
    <n v="788"/>
    <x v="0"/>
    <n v="14.1"/>
    <n v="26.9"/>
    <x v="1"/>
    <x v="173"/>
    <x v="3"/>
  </r>
  <r>
    <s v="CL100184"/>
    <x v="4"/>
    <s v="Tier 2"/>
    <x v="4"/>
    <n v="277647"/>
    <x v="170"/>
    <n v="300"/>
    <n v="28507"/>
    <n v="766"/>
    <x v="0"/>
    <n v="13.8"/>
    <n v="32.5"/>
    <x v="1"/>
    <x v="174"/>
    <x v="3"/>
  </r>
  <r>
    <s v="CL100185"/>
    <x v="3"/>
    <s v="Tier 1"/>
    <x v="6"/>
    <n v="89761"/>
    <x v="144"/>
    <n v="24"/>
    <n v="186223"/>
    <n v="709"/>
    <x v="3"/>
    <n v="2.9"/>
    <n v="42.8"/>
    <x v="3"/>
    <x v="175"/>
    <x v="2"/>
  </r>
  <r>
    <s v="CL100186"/>
    <x v="2"/>
    <s v="Tier 2"/>
    <x v="4"/>
    <n v="435192"/>
    <x v="16"/>
    <n v="300"/>
    <n v="39618"/>
    <n v="706"/>
    <x v="0"/>
    <n v="3.2"/>
    <n v="34.5"/>
    <x v="1"/>
    <x v="176"/>
    <x v="2"/>
  </r>
  <r>
    <s v="CL100187"/>
    <x v="0"/>
    <s v="Tier 1"/>
    <x v="4"/>
    <n v="521637"/>
    <x v="171"/>
    <n v="48"/>
    <n v="102286"/>
    <n v="693"/>
    <x v="0"/>
    <n v="13.2"/>
    <n v="25.4"/>
    <x v="2"/>
    <x v="85"/>
    <x v="0"/>
  </r>
  <r>
    <s v="CL100188"/>
    <x v="0"/>
    <s v="Tier 1"/>
    <x v="0"/>
    <n v="671246"/>
    <x v="172"/>
    <n v="300"/>
    <n v="44122"/>
    <n v="778"/>
    <x v="0"/>
    <n v="6.7"/>
    <n v="40.799999999999997"/>
    <x v="2"/>
    <x v="177"/>
    <x v="3"/>
  </r>
  <r>
    <s v="CL100189"/>
    <x v="4"/>
    <s v="Tier 3"/>
    <x v="1"/>
    <n v="333768"/>
    <x v="173"/>
    <n v="300"/>
    <n v="166426"/>
    <n v="592"/>
    <x v="1"/>
    <n v="0.5"/>
    <n v="44.2"/>
    <x v="1"/>
    <x v="178"/>
    <x v="1"/>
  </r>
  <r>
    <s v="CL100190"/>
    <x v="4"/>
    <s v="Tier 2"/>
    <x v="0"/>
    <n v="693152"/>
    <x v="174"/>
    <n v="60"/>
    <n v="137598"/>
    <n v="668"/>
    <x v="0"/>
    <n v="18.100000000000001"/>
    <n v="12.8"/>
    <x v="1"/>
    <x v="179"/>
    <x v="0"/>
  </r>
  <r>
    <s v="CL100191"/>
    <x v="7"/>
    <s v="Tier 2"/>
    <x v="2"/>
    <n v="407980"/>
    <x v="175"/>
    <n v="60"/>
    <n v="190051"/>
    <n v="794"/>
    <x v="0"/>
    <n v="0.8"/>
    <n v="29.3"/>
    <x v="0"/>
    <x v="180"/>
    <x v="3"/>
  </r>
  <r>
    <s v="CL100192"/>
    <x v="7"/>
    <s v="Tier 1"/>
    <x v="1"/>
    <n v="125356"/>
    <x v="176"/>
    <n v="12"/>
    <n v="114436"/>
    <n v="782"/>
    <x v="0"/>
    <n v="14.9"/>
    <n v="19.399999999999999"/>
    <x v="1"/>
    <x v="181"/>
    <x v="3"/>
  </r>
  <r>
    <s v="CL100193"/>
    <x v="3"/>
    <s v="Tier 2"/>
    <x v="4"/>
    <n v="222228"/>
    <x v="177"/>
    <n v="240"/>
    <n v="211846"/>
    <n v="653"/>
    <x v="0"/>
    <n v="13.5"/>
    <n v="9.9"/>
    <x v="1"/>
    <x v="182"/>
    <x v="0"/>
  </r>
  <r>
    <s v="CL100194"/>
    <x v="4"/>
    <s v="Tier 1"/>
    <x v="0"/>
    <n v="47727"/>
    <x v="178"/>
    <n v="36"/>
    <n v="164109"/>
    <n v="604"/>
    <x v="0"/>
    <n v="24.2"/>
    <n v="34.700000000000003"/>
    <x v="0"/>
    <x v="183"/>
    <x v="1"/>
  </r>
  <r>
    <s v="CL100195"/>
    <x v="4"/>
    <s v="Tier 1"/>
    <x v="0"/>
    <n v="345615"/>
    <x v="179"/>
    <n v="24"/>
    <n v="56633"/>
    <n v="680"/>
    <x v="1"/>
    <n v="12.1"/>
    <n v="42.5"/>
    <x v="1"/>
    <x v="184"/>
    <x v="0"/>
  </r>
  <r>
    <s v="CL100196"/>
    <x v="3"/>
    <s v="Tier 3"/>
    <x v="2"/>
    <n v="537356"/>
    <x v="180"/>
    <n v="12"/>
    <n v="52495"/>
    <n v="755"/>
    <x v="1"/>
    <n v="1.6"/>
    <n v="14.5"/>
    <x v="3"/>
    <x v="185"/>
    <x v="3"/>
  </r>
  <r>
    <s v="CL100197"/>
    <x v="7"/>
    <s v="Tier 1"/>
    <x v="0"/>
    <n v="646211"/>
    <x v="181"/>
    <n v="36"/>
    <n v="92550"/>
    <n v="696"/>
    <x v="0"/>
    <n v="13.8"/>
    <n v="40.5"/>
    <x v="1"/>
    <x v="186"/>
    <x v="0"/>
  </r>
  <r>
    <s v="CL100198"/>
    <x v="5"/>
    <s v="Tier 3"/>
    <x v="0"/>
    <n v="405511"/>
    <x v="182"/>
    <n v="300"/>
    <n v="64483"/>
    <n v="745"/>
    <x v="1"/>
    <n v="21"/>
    <n v="42.1"/>
    <x v="1"/>
    <x v="187"/>
    <x v="2"/>
  </r>
  <r>
    <s v="CL100199"/>
    <x v="2"/>
    <s v="Tier 1"/>
    <x v="0"/>
    <n v="439376"/>
    <x v="183"/>
    <n v="48"/>
    <n v="141181"/>
    <n v="620"/>
    <x v="1"/>
    <n v="24.9"/>
    <n v="44.6"/>
    <x v="1"/>
    <x v="188"/>
    <x v="1"/>
  </r>
  <r>
    <s v="CL100200"/>
    <x v="3"/>
    <s v="Tier 1"/>
    <x v="5"/>
    <n v="16390"/>
    <x v="184"/>
    <n v="60"/>
    <n v="62069"/>
    <n v="699"/>
    <x v="0"/>
    <n v="10.8"/>
    <n v="18.600000000000001"/>
    <x v="2"/>
    <x v="189"/>
    <x v="0"/>
  </r>
  <r>
    <s v="CL100201"/>
    <x v="4"/>
    <s v="Tier 2"/>
    <x v="2"/>
    <n v="636040"/>
    <x v="185"/>
    <n v="120"/>
    <n v="166442"/>
    <n v="676"/>
    <x v="0"/>
    <n v="8"/>
    <n v="44.2"/>
    <x v="0"/>
    <x v="190"/>
    <x v="0"/>
  </r>
  <r>
    <s v="CL100202"/>
    <x v="4"/>
    <s v="Tier 3"/>
    <x v="0"/>
    <n v="361898"/>
    <x v="186"/>
    <n v="24"/>
    <n v="147873"/>
    <n v="724"/>
    <x v="0"/>
    <n v="22.7"/>
    <n v="20.8"/>
    <x v="3"/>
    <x v="191"/>
    <x v="2"/>
  </r>
  <r>
    <s v="CL100203"/>
    <x v="7"/>
    <s v="Tier 2"/>
    <x v="0"/>
    <n v="343113"/>
    <x v="187"/>
    <n v="300"/>
    <n v="144843"/>
    <n v="795"/>
    <x v="0"/>
    <n v="4.8"/>
    <n v="30.1"/>
    <x v="1"/>
    <x v="192"/>
    <x v="3"/>
  </r>
  <r>
    <s v="CL100204"/>
    <x v="3"/>
    <s v="Tier 3"/>
    <x v="0"/>
    <n v="675398"/>
    <x v="188"/>
    <n v="120"/>
    <n v="99947"/>
    <n v="808"/>
    <x v="1"/>
    <n v="15.4"/>
    <n v="10"/>
    <x v="1"/>
    <x v="193"/>
    <x v="3"/>
  </r>
  <r>
    <s v="CL100205"/>
    <x v="4"/>
    <s v="Tier 2"/>
    <x v="2"/>
    <n v="344208"/>
    <x v="189"/>
    <n v="60"/>
    <n v="198205"/>
    <n v="709"/>
    <x v="3"/>
    <n v="10.1"/>
    <n v="9.8000000000000007"/>
    <x v="1"/>
    <x v="194"/>
    <x v="2"/>
  </r>
  <r>
    <s v="CL100206"/>
    <x v="4"/>
    <s v="Tier 2"/>
    <x v="4"/>
    <n v="26281"/>
    <x v="190"/>
    <n v="300"/>
    <n v="123761"/>
    <n v="716"/>
    <x v="2"/>
    <n v="1"/>
    <n v="36.799999999999997"/>
    <x v="1"/>
    <x v="195"/>
    <x v="2"/>
  </r>
  <r>
    <s v="CL100207"/>
    <x v="3"/>
    <s v="Tier 3"/>
    <x v="0"/>
    <n v="59189"/>
    <x v="191"/>
    <n v="240"/>
    <n v="141753"/>
    <n v="696"/>
    <x v="1"/>
    <n v="8.6999999999999993"/>
    <n v="25.8"/>
    <x v="0"/>
    <x v="196"/>
    <x v="0"/>
  </r>
  <r>
    <s v="CL100208"/>
    <x v="4"/>
    <s v="Tier 1"/>
    <x v="0"/>
    <n v="267093"/>
    <x v="192"/>
    <n v="240"/>
    <n v="159764"/>
    <n v="673"/>
    <x v="0"/>
    <n v="6.6"/>
    <n v="18.3"/>
    <x v="0"/>
    <x v="197"/>
    <x v="0"/>
  </r>
  <r>
    <s v="CL100209"/>
    <x v="4"/>
    <s v="Tier 1"/>
    <x v="0"/>
    <n v="315655"/>
    <x v="193"/>
    <n v="120"/>
    <n v="56926"/>
    <n v="747"/>
    <x v="0"/>
    <n v="17.2"/>
    <n v="15.6"/>
    <x v="1"/>
    <x v="198"/>
    <x v="2"/>
  </r>
  <r>
    <s v="CL100210"/>
    <x v="0"/>
    <s v="Tier 1"/>
    <x v="4"/>
    <n v="651403"/>
    <x v="194"/>
    <n v="48"/>
    <n v="127782"/>
    <n v="782"/>
    <x v="1"/>
    <n v="23.7"/>
    <n v="34.799999999999997"/>
    <x v="2"/>
    <x v="33"/>
    <x v="3"/>
  </r>
  <r>
    <s v="CL100211"/>
    <x v="3"/>
    <s v="Tier 3"/>
    <x v="2"/>
    <n v="537893"/>
    <x v="195"/>
    <n v="300"/>
    <n v="132700"/>
    <n v="728"/>
    <x v="0"/>
    <n v="6.7"/>
    <n v="8"/>
    <x v="1"/>
    <x v="143"/>
    <x v="2"/>
  </r>
  <r>
    <s v="CL100212"/>
    <x v="3"/>
    <s v="Tier 3"/>
    <x v="0"/>
    <n v="367462"/>
    <x v="196"/>
    <n v="36"/>
    <n v="101984"/>
    <n v="762"/>
    <x v="0"/>
    <n v="20.3"/>
    <n v="40.200000000000003"/>
    <x v="2"/>
    <x v="199"/>
    <x v="3"/>
  </r>
  <r>
    <s v="CL100213"/>
    <x v="4"/>
    <s v="Tier 1"/>
    <x v="0"/>
    <n v="399597"/>
    <x v="197"/>
    <n v="300"/>
    <n v="202462"/>
    <n v="731"/>
    <x v="1"/>
    <n v="1.4"/>
    <n v="11.2"/>
    <x v="1"/>
    <x v="200"/>
    <x v="2"/>
  </r>
  <r>
    <s v="CL100214"/>
    <x v="3"/>
    <s v="Tier 2"/>
    <x v="0"/>
    <n v="254415"/>
    <x v="198"/>
    <n v="48"/>
    <n v="77593"/>
    <n v="653"/>
    <x v="1"/>
    <n v="13.5"/>
    <n v="15.7"/>
    <x v="1"/>
    <x v="201"/>
    <x v="0"/>
  </r>
  <r>
    <s v="CL100215"/>
    <x v="4"/>
    <s v="Tier 3"/>
    <x v="5"/>
    <n v="684682"/>
    <x v="199"/>
    <n v="300"/>
    <n v="103609"/>
    <n v="621"/>
    <x v="1"/>
    <n v="1.8"/>
    <n v="23.4"/>
    <x v="1"/>
    <x v="202"/>
    <x v="1"/>
  </r>
  <r>
    <s v="CL100216"/>
    <x v="4"/>
    <s v="Tier 1"/>
    <x v="0"/>
    <n v="46869"/>
    <x v="31"/>
    <n v="120"/>
    <n v="33209"/>
    <n v="791"/>
    <x v="0"/>
    <n v="23.4"/>
    <n v="27.4"/>
    <x v="1"/>
    <x v="203"/>
    <x v="3"/>
  </r>
  <r>
    <s v="CL100217"/>
    <x v="2"/>
    <s v="Tier 2"/>
    <x v="2"/>
    <n v="562243"/>
    <x v="200"/>
    <n v="48"/>
    <n v="154700"/>
    <n v="680"/>
    <x v="1"/>
    <n v="19.2"/>
    <n v="22.2"/>
    <x v="0"/>
    <x v="204"/>
    <x v="0"/>
  </r>
  <r>
    <s v="CL100218"/>
    <x v="3"/>
    <s v="Tier 3"/>
    <x v="4"/>
    <n v="590676"/>
    <x v="201"/>
    <n v="60"/>
    <n v="165605"/>
    <n v="624"/>
    <x v="3"/>
    <n v="16.399999999999999"/>
    <n v="20.8"/>
    <x v="1"/>
    <x v="205"/>
    <x v="1"/>
  </r>
  <r>
    <s v="CL100219"/>
    <x v="2"/>
    <s v="Tier 1"/>
    <x v="1"/>
    <n v="15207"/>
    <x v="202"/>
    <n v="24"/>
    <n v="114597"/>
    <n v="661"/>
    <x v="0"/>
    <n v="20.6"/>
    <n v="46.6"/>
    <x v="1"/>
    <x v="206"/>
    <x v="0"/>
  </r>
  <r>
    <s v="CL100220"/>
    <x v="3"/>
    <s v="Tier 2"/>
    <x v="0"/>
    <n v="223401"/>
    <x v="203"/>
    <n v="48"/>
    <n v="35211"/>
    <n v="596"/>
    <x v="1"/>
    <n v="16.2"/>
    <n v="33.700000000000003"/>
    <x v="0"/>
    <x v="207"/>
    <x v="1"/>
  </r>
  <r>
    <s v="CL100221"/>
    <x v="0"/>
    <s v="Tier 1"/>
    <x v="0"/>
    <n v="164292"/>
    <x v="204"/>
    <n v="300"/>
    <n v="37927"/>
    <n v="652"/>
    <x v="0"/>
    <n v="24.2"/>
    <n v="8.9"/>
    <x v="0"/>
    <x v="208"/>
    <x v="0"/>
  </r>
  <r>
    <s v="CL100222"/>
    <x v="4"/>
    <s v="Tier 3"/>
    <x v="4"/>
    <n v="482266"/>
    <x v="205"/>
    <n v="60"/>
    <n v="145333"/>
    <n v="593"/>
    <x v="3"/>
    <n v="17.8"/>
    <n v="25.2"/>
    <x v="3"/>
    <x v="209"/>
    <x v="1"/>
  </r>
  <r>
    <s v="CL100223"/>
    <x v="0"/>
    <s v="Tier 3"/>
    <x v="2"/>
    <n v="501762"/>
    <x v="206"/>
    <n v="24"/>
    <n v="183666"/>
    <n v="736"/>
    <x v="0"/>
    <n v="23.1"/>
    <n v="43"/>
    <x v="1"/>
    <x v="210"/>
    <x v="2"/>
  </r>
  <r>
    <s v="CL100224"/>
    <x v="4"/>
    <s v="Tier 3"/>
    <x v="4"/>
    <n v="210157"/>
    <x v="207"/>
    <n v="240"/>
    <n v="104382"/>
    <n v="802"/>
    <x v="0"/>
    <n v="12.9"/>
    <n v="20.100000000000001"/>
    <x v="0"/>
    <x v="211"/>
    <x v="3"/>
  </r>
  <r>
    <s v="CL100225"/>
    <x v="4"/>
    <s v="Tier 1"/>
    <x v="1"/>
    <n v="27031"/>
    <x v="130"/>
    <n v="36"/>
    <n v="167005"/>
    <n v="711"/>
    <x v="0"/>
    <n v="2.9"/>
    <n v="11.8"/>
    <x v="0"/>
    <x v="212"/>
    <x v="2"/>
  </r>
  <r>
    <s v="CL100226"/>
    <x v="1"/>
    <s v="Tier 3"/>
    <x v="0"/>
    <n v="468937"/>
    <x v="208"/>
    <n v="120"/>
    <n v="131780"/>
    <n v="626"/>
    <x v="1"/>
    <n v="13.2"/>
    <n v="38.299999999999997"/>
    <x v="1"/>
    <x v="213"/>
    <x v="1"/>
  </r>
  <r>
    <s v="CL100227"/>
    <x v="0"/>
    <s v="Tier 3"/>
    <x v="5"/>
    <n v="600600"/>
    <x v="209"/>
    <n v="300"/>
    <n v="68696"/>
    <n v="686"/>
    <x v="0"/>
    <n v="3.2"/>
    <n v="32.200000000000003"/>
    <x v="1"/>
    <x v="214"/>
    <x v="0"/>
  </r>
  <r>
    <s v="CL100228"/>
    <x v="7"/>
    <s v="Tier 1"/>
    <x v="2"/>
    <n v="589054"/>
    <x v="210"/>
    <n v="300"/>
    <n v="95616"/>
    <n v="687"/>
    <x v="0"/>
    <n v="14.8"/>
    <n v="30.8"/>
    <x v="1"/>
    <x v="215"/>
    <x v="0"/>
  </r>
  <r>
    <s v="CL100229"/>
    <x v="3"/>
    <s v="Tier 3"/>
    <x v="0"/>
    <n v="148521"/>
    <x v="211"/>
    <n v="240"/>
    <n v="165161"/>
    <n v="844"/>
    <x v="0"/>
    <n v="12.1"/>
    <n v="10.1"/>
    <x v="1"/>
    <x v="216"/>
    <x v="3"/>
  </r>
  <r>
    <s v="CL100230"/>
    <x v="2"/>
    <s v="Tier 1"/>
    <x v="5"/>
    <n v="356977"/>
    <x v="212"/>
    <n v="36"/>
    <n v="215620"/>
    <n v="784"/>
    <x v="3"/>
    <n v="15.6"/>
    <n v="13.6"/>
    <x v="1"/>
    <x v="217"/>
    <x v="3"/>
  </r>
  <r>
    <s v="CL100231"/>
    <x v="0"/>
    <s v="Tier 2"/>
    <x v="4"/>
    <n v="192771"/>
    <x v="213"/>
    <n v="240"/>
    <n v="185195"/>
    <n v="658"/>
    <x v="0"/>
    <n v="0.3"/>
    <n v="32.9"/>
    <x v="1"/>
    <x v="218"/>
    <x v="0"/>
  </r>
  <r>
    <s v="CL100232"/>
    <x v="0"/>
    <s v="Tier 1"/>
    <x v="4"/>
    <n v="242199"/>
    <x v="214"/>
    <n v="12"/>
    <n v="166869"/>
    <n v="734"/>
    <x v="0"/>
    <n v="4.9000000000000004"/>
    <n v="16.3"/>
    <x v="0"/>
    <x v="219"/>
    <x v="2"/>
  </r>
  <r>
    <s v="CL100233"/>
    <x v="0"/>
    <s v="Tier 1"/>
    <x v="2"/>
    <n v="640329"/>
    <x v="215"/>
    <n v="240"/>
    <n v="78013"/>
    <n v="826"/>
    <x v="1"/>
    <n v="12.3"/>
    <n v="28.2"/>
    <x v="0"/>
    <x v="220"/>
    <x v="3"/>
  </r>
  <r>
    <s v="CL100234"/>
    <x v="4"/>
    <s v="Tier 1"/>
    <x v="2"/>
    <n v="645473"/>
    <x v="26"/>
    <n v="60"/>
    <n v="167418"/>
    <n v="598"/>
    <x v="0"/>
    <n v="23.8"/>
    <n v="29.8"/>
    <x v="2"/>
    <x v="221"/>
    <x v="1"/>
  </r>
  <r>
    <s v="CL100235"/>
    <x v="3"/>
    <s v="Tier 2"/>
    <x v="4"/>
    <n v="182164"/>
    <x v="216"/>
    <n v="24"/>
    <n v="192744"/>
    <n v="605"/>
    <x v="3"/>
    <n v="9.6"/>
    <n v="19.3"/>
    <x v="0"/>
    <x v="1"/>
    <x v="1"/>
  </r>
  <r>
    <s v="CL100236"/>
    <x v="4"/>
    <s v="Tier 1"/>
    <x v="0"/>
    <n v="461887"/>
    <x v="217"/>
    <n v="300"/>
    <n v="176725"/>
    <n v="796"/>
    <x v="0"/>
    <n v="10.6"/>
    <n v="45.9"/>
    <x v="1"/>
    <x v="135"/>
    <x v="3"/>
  </r>
  <r>
    <s v="CL100237"/>
    <x v="4"/>
    <s v="Tier 2"/>
    <x v="0"/>
    <n v="539638"/>
    <x v="218"/>
    <n v="240"/>
    <n v="77556"/>
    <n v="733"/>
    <x v="1"/>
    <n v="17.899999999999999"/>
    <n v="41.7"/>
    <x v="3"/>
    <x v="222"/>
    <x v="2"/>
  </r>
  <r>
    <s v="CL100238"/>
    <x v="3"/>
    <s v="Tier 1"/>
    <x v="6"/>
    <n v="518313"/>
    <x v="219"/>
    <n v="300"/>
    <n v="151723"/>
    <n v="733"/>
    <x v="0"/>
    <n v="15.1"/>
    <n v="36.9"/>
    <x v="3"/>
    <x v="223"/>
    <x v="2"/>
  </r>
  <r>
    <s v="CL100239"/>
    <x v="4"/>
    <s v="Tier 1"/>
    <x v="0"/>
    <n v="73487"/>
    <x v="151"/>
    <n v="48"/>
    <n v="54140"/>
    <n v="753"/>
    <x v="0"/>
    <n v="7.5"/>
    <n v="11.1"/>
    <x v="1"/>
    <x v="224"/>
    <x v="3"/>
  </r>
  <r>
    <s v="CL100240"/>
    <x v="6"/>
    <s v="Tier 2"/>
    <x v="0"/>
    <n v="153694"/>
    <x v="218"/>
    <n v="36"/>
    <n v="29184"/>
    <n v="671"/>
    <x v="1"/>
    <n v="10.3"/>
    <n v="12.2"/>
    <x v="0"/>
    <x v="142"/>
    <x v="0"/>
  </r>
  <r>
    <s v="CL100241"/>
    <x v="1"/>
    <s v="Tier 2"/>
    <x v="1"/>
    <n v="128853"/>
    <x v="129"/>
    <n v="240"/>
    <n v="193565"/>
    <n v="760"/>
    <x v="0"/>
    <n v="5.4"/>
    <n v="27.7"/>
    <x v="2"/>
    <x v="225"/>
    <x v="3"/>
  </r>
  <r>
    <s v="CL100242"/>
    <x v="7"/>
    <s v="Tier 1"/>
    <x v="1"/>
    <n v="320261"/>
    <x v="220"/>
    <n v="24"/>
    <n v="203220"/>
    <n v="710"/>
    <x v="1"/>
    <n v="24.2"/>
    <n v="14.4"/>
    <x v="0"/>
    <x v="226"/>
    <x v="2"/>
  </r>
  <r>
    <s v="CL100243"/>
    <x v="0"/>
    <s v="Tier 2"/>
    <x v="4"/>
    <n v="240062"/>
    <x v="221"/>
    <n v="60"/>
    <n v="183918"/>
    <n v="655"/>
    <x v="0"/>
    <n v="3.3"/>
    <n v="47.1"/>
    <x v="3"/>
    <x v="227"/>
    <x v="0"/>
  </r>
  <r>
    <s v="CL100244"/>
    <x v="4"/>
    <s v="Tier 3"/>
    <x v="6"/>
    <n v="456610"/>
    <x v="191"/>
    <n v="12"/>
    <n v="139361"/>
    <n v="756"/>
    <x v="0"/>
    <n v="9.3000000000000007"/>
    <n v="14.3"/>
    <x v="1"/>
    <x v="228"/>
    <x v="3"/>
  </r>
  <r>
    <s v="CL100245"/>
    <x v="6"/>
    <s v="Tier 2"/>
    <x v="0"/>
    <n v="238077"/>
    <x v="222"/>
    <n v="300"/>
    <n v="181267"/>
    <n v="763"/>
    <x v="0"/>
    <n v="0.6"/>
    <n v="27.5"/>
    <x v="1"/>
    <x v="229"/>
    <x v="3"/>
  </r>
  <r>
    <s v="CL100246"/>
    <x v="0"/>
    <s v="Tier 1"/>
    <x v="0"/>
    <n v="28782"/>
    <x v="24"/>
    <n v="36"/>
    <n v="33606"/>
    <n v="710"/>
    <x v="2"/>
    <n v="5.5"/>
    <n v="22.6"/>
    <x v="1"/>
    <x v="230"/>
    <x v="2"/>
  </r>
  <r>
    <s v="CL100247"/>
    <x v="1"/>
    <s v="Tier 1"/>
    <x v="0"/>
    <n v="514492"/>
    <x v="223"/>
    <n v="120"/>
    <n v="163028"/>
    <n v="628"/>
    <x v="0"/>
    <n v="19.5"/>
    <n v="33.6"/>
    <x v="0"/>
    <x v="231"/>
    <x v="1"/>
  </r>
  <r>
    <s v="CL100248"/>
    <x v="1"/>
    <s v="Tier 3"/>
    <x v="3"/>
    <n v="659224"/>
    <x v="224"/>
    <n v="24"/>
    <n v="44555"/>
    <n v="634"/>
    <x v="0"/>
    <n v="5"/>
    <n v="13.2"/>
    <x v="3"/>
    <x v="232"/>
    <x v="1"/>
  </r>
  <r>
    <s v="CL100249"/>
    <x v="5"/>
    <s v="Tier 1"/>
    <x v="4"/>
    <n v="413808"/>
    <x v="225"/>
    <n v="120"/>
    <n v="118385"/>
    <n v="733"/>
    <x v="0"/>
    <n v="2"/>
    <n v="25.2"/>
    <x v="2"/>
    <x v="141"/>
    <x v="2"/>
  </r>
  <r>
    <s v="CL100250"/>
    <x v="4"/>
    <s v="Tier 3"/>
    <x v="0"/>
    <n v="158245"/>
    <x v="226"/>
    <n v="24"/>
    <n v="177762"/>
    <n v="779"/>
    <x v="0"/>
    <n v="11.9"/>
    <n v="19"/>
    <x v="1"/>
    <x v="233"/>
    <x v="3"/>
  </r>
  <r>
    <s v="CL100251"/>
    <x v="0"/>
    <s v="Tier 2"/>
    <x v="2"/>
    <n v="127258"/>
    <x v="227"/>
    <n v="24"/>
    <n v="86502"/>
    <n v="697"/>
    <x v="0"/>
    <n v="0.2"/>
    <n v="43.5"/>
    <x v="1"/>
    <x v="234"/>
    <x v="0"/>
  </r>
  <r>
    <s v="CL100252"/>
    <x v="5"/>
    <s v="Tier 3"/>
    <x v="3"/>
    <n v="640956"/>
    <x v="22"/>
    <n v="60"/>
    <n v="207921"/>
    <n v="842"/>
    <x v="3"/>
    <n v="2.1"/>
    <n v="9.6"/>
    <x v="3"/>
    <x v="235"/>
    <x v="3"/>
  </r>
  <r>
    <s v="CL100253"/>
    <x v="4"/>
    <s v="Tier 2"/>
    <x v="3"/>
    <n v="459418"/>
    <x v="50"/>
    <n v="60"/>
    <n v="185419"/>
    <n v="625"/>
    <x v="0"/>
    <n v="20.2"/>
    <n v="44.5"/>
    <x v="0"/>
    <x v="236"/>
    <x v="1"/>
  </r>
  <r>
    <s v="CL100254"/>
    <x v="4"/>
    <s v="Tier 3"/>
    <x v="6"/>
    <n v="487616"/>
    <x v="201"/>
    <n v="60"/>
    <n v="131844"/>
    <n v="768"/>
    <x v="3"/>
    <n v="19.3"/>
    <n v="41.3"/>
    <x v="1"/>
    <x v="237"/>
    <x v="3"/>
  </r>
  <r>
    <s v="CL100255"/>
    <x v="0"/>
    <s v="Tier 1"/>
    <x v="0"/>
    <n v="391328"/>
    <x v="228"/>
    <n v="240"/>
    <n v="119321"/>
    <n v="708"/>
    <x v="0"/>
    <n v="22.9"/>
    <n v="19.899999999999999"/>
    <x v="1"/>
    <x v="238"/>
    <x v="2"/>
  </r>
  <r>
    <s v="CL100256"/>
    <x v="6"/>
    <s v="Tier 2"/>
    <x v="2"/>
    <n v="511581"/>
    <x v="229"/>
    <n v="48"/>
    <n v="77056"/>
    <n v="628"/>
    <x v="1"/>
    <n v="21.4"/>
    <n v="39.6"/>
    <x v="0"/>
    <x v="239"/>
    <x v="1"/>
  </r>
  <r>
    <s v="CL100257"/>
    <x v="3"/>
    <s v="Tier 1"/>
    <x v="1"/>
    <n v="428966"/>
    <x v="230"/>
    <n v="24"/>
    <n v="126234"/>
    <n v="604"/>
    <x v="3"/>
    <n v="17.100000000000001"/>
    <n v="9.1999999999999993"/>
    <x v="0"/>
    <x v="240"/>
    <x v="1"/>
  </r>
  <r>
    <s v="CL100258"/>
    <x v="0"/>
    <s v="Tier 1"/>
    <x v="3"/>
    <n v="283710"/>
    <x v="226"/>
    <n v="36"/>
    <n v="69850"/>
    <n v="845"/>
    <x v="0"/>
    <n v="1.3"/>
    <n v="46.7"/>
    <x v="1"/>
    <x v="241"/>
    <x v="3"/>
  </r>
  <r>
    <s v="CL100259"/>
    <x v="4"/>
    <s v="Tier 2"/>
    <x v="2"/>
    <n v="667550"/>
    <x v="231"/>
    <n v="120"/>
    <n v="55843"/>
    <n v="697"/>
    <x v="2"/>
    <n v="19.600000000000001"/>
    <n v="29.1"/>
    <x v="1"/>
    <x v="242"/>
    <x v="0"/>
  </r>
  <r>
    <s v="CL100260"/>
    <x v="3"/>
    <s v="Tier 3"/>
    <x v="2"/>
    <n v="567621"/>
    <x v="138"/>
    <n v="60"/>
    <n v="90320"/>
    <n v="723"/>
    <x v="0"/>
    <n v="21.1"/>
    <n v="20.100000000000001"/>
    <x v="2"/>
    <x v="243"/>
    <x v="2"/>
  </r>
  <r>
    <s v="CL100261"/>
    <x v="9"/>
    <s v="Tier 3"/>
    <x v="4"/>
    <n v="389073"/>
    <x v="204"/>
    <n v="240"/>
    <n v="57793"/>
    <n v="779"/>
    <x v="3"/>
    <n v="20"/>
    <n v="22.5"/>
    <x v="0"/>
    <x v="244"/>
    <x v="3"/>
  </r>
  <r>
    <s v="CL100262"/>
    <x v="4"/>
    <s v="Tier 2"/>
    <x v="0"/>
    <n v="741265"/>
    <x v="185"/>
    <n v="60"/>
    <n v="198588"/>
    <n v="736"/>
    <x v="1"/>
    <n v="12.7"/>
    <n v="10.7"/>
    <x v="1"/>
    <x v="245"/>
    <x v="2"/>
  </r>
  <r>
    <s v="CL100263"/>
    <x v="0"/>
    <s v="Tier 1"/>
    <x v="1"/>
    <n v="618859"/>
    <x v="232"/>
    <n v="120"/>
    <n v="176929"/>
    <n v="713"/>
    <x v="0"/>
    <n v="5.8"/>
    <n v="47.6"/>
    <x v="1"/>
    <x v="246"/>
    <x v="2"/>
  </r>
  <r>
    <s v="CL100264"/>
    <x v="5"/>
    <s v="Tier 1"/>
    <x v="5"/>
    <n v="125263"/>
    <x v="233"/>
    <n v="120"/>
    <n v="47627"/>
    <n v="727"/>
    <x v="0"/>
    <n v="21.1"/>
    <n v="9.6"/>
    <x v="0"/>
    <x v="247"/>
    <x v="2"/>
  </r>
  <r>
    <s v="CL100265"/>
    <x v="2"/>
    <s v="Tier 2"/>
    <x v="6"/>
    <n v="554523"/>
    <x v="234"/>
    <n v="300"/>
    <n v="89822"/>
    <n v="650"/>
    <x v="0"/>
    <n v="18.2"/>
    <n v="34.200000000000003"/>
    <x v="1"/>
    <x v="248"/>
    <x v="0"/>
  </r>
  <r>
    <s v="CL100266"/>
    <x v="3"/>
    <s v="Tier 1"/>
    <x v="0"/>
    <n v="5159"/>
    <x v="235"/>
    <n v="24"/>
    <n v="211320"/>
    <n v="812"/>
    <x v="0"/>
    <n v="24.5"/>
    <n v="25.7"/>
    <x v="1"/>
    <x v="249"/>
    <x v="3"/>
  </r>
  <r>
    <s v="CL100267"/>
    <x v="3"/>
    <s v="Tier 1"/>
    <x v="0"/>
    <n v="672505"/>
    <x v="236"/>
    <n v="60"/>
    <n v="83798"/>
    <n v="733"/>
    <x v="0"/>
    <n v="3.9"/>
    <n v="46"/>
    <x v="0"/>
    <x v="250"/>
    <x v="2"/>
  </r>
  <r>
    <s v="CL100268"/>
    <x v="4"/>
    <s v="Tier 1"/>
    <x v="0"/>
    <n v="167993"/>
    <x v="237"/>
    <n v="120"/>
    <n v="203188"/>
    <n v="669"/>
    <x v="0"/>
    <n v="5.6"/>
    <n v="17.8"/>
    <x v="1"/>
    <x v="251"/>
    <x v="0"/>
  </r>
  <r>
    <s v="CL100269"/>
    <x v="4"/>
    <s v="Tier 1"/>
    <x v="2"/>
    <n v="372003"/>
    <x v="238"/>
    <n v="48"/>
    <n v="103318"/>
    <n v="778"/>
    <x v="0"/>
    <n v="5.3"/>
    <n v="29.3"/>
    <x v="0"/>
    <x v="252"/>
    <x v="3"/>
  </r>
  <r>
    <s v="CL100270"/>
    <x v="2"/>
    <s v="Tier 1"/>
    <x v="2"/>
    <n v="152309"/>
    <x v="239"/>
    <n v="48"/>
    <n v="132186"/>
    <n v="740"/>
    <x v="1"/>
    <n v="19.8"/>
    <n v="27.3"/>
    <x v="1"/>
    <x v="253"/>
    <x v="2"/>
  </r>
  <r>
    <s v="CL100271"/>
    <x v="2"/>
    <s v="Tier 1"/>
    <x v="0"/>
    <n v="112507"/>
    <x v="240"/>
    <n v="60"/>
    <n v="115902"/>
    <n v="605"/>
    <x v="0"/>
    <n v="4.7"/>
    <n v="36.1"/>
    <x v="0"/>
    <x v="136"/>
    <x v="1"/>
  </r>
  <r>
    <s v="CL100272"/>
    <x v="5"/>
    <s v="Tier 1"/>
    <x v="1"/>
    <n v="19743"/>
    <x v="241"/>
    <n v="240"/>
    <n v="187629"/>
    <n v="700"/>
    <x v="0"/>
    <n v="1.7"/>
    <n v="10.7"/>
    <x v="1"/>
    <x v="254"/>
    <x v="2"/>
  </r>
  <r>
    <s v="CL100273"/>
    <x v="7"/>
    <s v="Tier 1"/>
    <x v="3"/>
    <n v="51101"/>
    <x v="242"/>
    <n v="120"/>
    <n v="99334"/>
    <n v="791"/>
    <x v="1"/>
    <n v="25"/>
    <n v="15.8"/>
    <x v="1"/>
    <x v="255"/>
    <x v="3"/>
  </r>
  <r>
    <s v="CL100274"/>
    <x v="0"/>
    <s v="Tier 3"/>
    <x v="2"/>
    <n v="247717"/>
    <x v="243"/>
    <n v="300"/>
    <n v="134719"/>
    <n v="642"/>
    <x v="0"/>
    <n v="0.6"/>
    <n v="16.600000000000001"/>
    <x v="1"/>
    <x v="256"/>
    <x v="1"/>
  </r>
  <r>
    <s v="CL100275"/>
    <x v="0"/>
    <s v="Tier 1"/>
    <x v="1"/>
    <n v="650822"/>
    <x v="244"/>
    <n v="24"/>
    <n v="151099"/>
    <n v="647"/>
    <x v="0"/>
    <n v="20.9"/>
    <n v="37.5"/>
    <x v="2"/>
    <x v="257"/>
    <x v="1"/>
  </r>
  <r>
    <s v="CL100276"/>
    <x v="2"/>
    <s v="Tier 1"/>
    <x v="4"/>
    <n v="351371"/>
    <x v="245"/>
    <n v="24"/>
    <n v="201686"/>
    <n v="832"/>
    <x v="0"/>
    <n v="9.1"/>
    <n v="15.6"/>
    <x v="3"/>
    <x v="258"/>
    <x v="3"/>
  </r>
  <r>
    <s v="CL100277"/>
    <x v="3"/>
    <s v="Tier 2"/>
    <x v="1"/>
    <n v="235604"/>
    <x v="246"/>
    <n v="240"/>
    <n v="40720"/>
    <n v="581"/>
    <x v="3"/>
    <n v="21"/>
    <n v="30.9"/>
    <x v="1"/>
    <x v="259"/>
    <x v="1"/>
  </r>
  <r>
    <s v="CL100278"/>
    <x v="3"/>
    <s v="Tier 1"/>
    <x v="0"/>
    <n v="192450"/>
    <x v="247"/>
    <n v="300"/>
    <n v="85608"/>
    <n v="687"/>
    <x v="1"/>
    <n v="13.9"/>
    <n v="16.600000000000001"/>
    <x v="0"/>
    <x v="260"/>
    <x v="0"/>
  </r>
  <r>
    <s v="CL100279"/>
    <x v="2"/>
    <s v="Tier 3"/>
    <x v="4"/>
    <n v="731481"/>
    <x v="248"/>
    <n v="24"/>
    <n v="135449"/>
    <n v="628"/>
    <x v="0"/>
    <n v="22.5"/>
    <n v="42.5"/>
    <x v="0"/>
    <x v="261"/>
    <x v="1"/>
  </r>
  <r>
    <s v="CL100280"/>
    <x v="7"/>
    <s v="Tier 2"/>
    <x v="4"/>
    <n v="341907"/>
    <x v="249"/>
    <n v="300"/>
    <n v="130828"/>
    <n v="719"/>
    <x v="1"/>
    <n v="23.2"/>
    <n v="45.7"/>
    <x v="2"/>
    <x v="8"/>
    <x v="2"/>
  </r>
  <r>
    <s v="CL100281"/>
    <x v="4"/>
    <s v="Tier 1"/>
    <x v="3"/>
    <n v="492030"/>
    <x v="250"/>
    <n v="12"/>
    <n v="154613"/>
    <n v="797"/>
    <x v="0"/>
    <n v="0.2"/>
    <n v="28.7"/>
    <x v="1"/>
    <x v="262"/>
    <x v="3"/>
  </r>
  <r>
    <s v="CL100282"/>
    <x v="0"/>
    <s v="Tier 1"/>
    <x v="4"/>
    <n v="410453"/>
    <x v="251"/>
    <n v="60"/>
    <n v="100095"/>
    <n v="623"/>
    <x v="1"/>
    <n v="1.9"/>
    <n v="22.1"/>
    <x v="0"/>
    <x v="263"/>
    <x v="1"/>
  </r>
  <r>
    <s v="CL100283"/>
    <x v="4"/>
    <s v="Tier 3"/>
    <x v="2"/>
    <n v="676009"/>
    <x v="63"/>
    <n v="24"/>
    <n v="133924"/>
    <n v="848"/>
    <x v="1"/>
    <n v="6.3"/>
    <n v="17.399999999999999"/>
    <x v="1"/>
    <x v="264"/>
    <x v="3"/>
  </r>
  <r>
    <s v="CL100284"/>
    <x v="0"/>
    <s v="Tier 3"/>
    <x v="0"/>
    <n v="173785"/>
    <x v="252"/>
    <n v="48"/>
    <n v="124452"/>
    <n v="657"/>
    <x v="1"/>
    <n v="16.7"/>
    <n v="10"/>
    <x v="1"/>
    <x v="265"/>
    <x v="0"/>
  </r>
  <r>
    <s v="CL100285"/>
    <x v="4"/>
    <s v="Tier 1"/>
    <x v="1"/>
    <n v="209535"/>
    <x v="253"/>
    <n v="120"/>
    <n v="115593"/>
    <n v="795"/>
    <x v="0"/>
    <n v="22.2"/>
    <n v="18.7"/>
    <x v="2"/>
    <x v="102"/>
    <x v="3"/>
  </r>
  <r>
    <s v="CL100286"/>
    <x v="0"/>
    <s v="Tier 2"/>
    <x v="0"/>
    <n v="705769"/>
    <x v="254"/>
    <n v="300"/>
    <n v="194964"/>
    <n v="677"/>
    <x v="0"/>
    <n v="11.5"/>
    <n v="34.200000000000003"/>
    <x v="0"/>
    <x v="266"/>
    <x v="0"/>
  </r>
  <r>
    <s v="CL100287"/>
    <x v="0"/>
    <s v="Tier 1"/>
    <x v="0"/>
    <n v="184838"/>
    <x v="255"/>
    <n v="300"/>
    <n v="134975"/>
    <n v="815"/>
    <x v="0"/>
    <n v="15.2"/>
    <n v="29.3"/>
    <x v="1"/>
    <x v="267"/>
    <x v="3"/>
  </r>
  <r>
    <s v="CL100288"/>
    <x v="4"/>
    <s v="Tier 3"/>
    <x v="2"/>
    <n v="575442"/>
    <x v="256"/>
    <n v="36"/>
    <n v="105242"/>
    <n v="728"/>
    <x v="3"/>
    <n v="4.7"/>
    <n v="45.8"/>
    <x v="1"/>
    <x v="268"/>
    <x v="2"/>
  </r>
  <r>
    <s v="CL100289"/>
    <x v="3"/>
    <s v="Tier 1"/>
    <x v="5"/>
    <n v="274160"/>
    <x v="257"/>
    <n v="240"/>
    <n v="144041"/>
    <n v="645"/>
    <x v="0"/>
    <n v="20.100000000000001"/>
    <n v="23.9"/>
    <x v="0"/>
    <x v="56"/>
    <x v="1"/>
  </r>
  <r>
    <s v="CL100290"/>
    <x v="4"/>
    <s v="Tier 3"/>
    <x v="0"/>
    <n v="477779"/>
    <x v="258"/>
    <n v="36"/>
    <n v="154202"/>
    <n v="813"/>
    <x v="1"/>
    <n v="24.2"/>
    <n v="35.799999999999997"/>
    <x v="0"/>
    <x v="117"/>
    <x v="3"/>
  </r>
  <r>
    <s v="CL100291"/>
    <x v="4"/>
    <s v="Tier 2"/>
    <x v="1"/>
    <n v="446904"/>
    <x v="259"/>
    <n v="24"/>
    <n v="105606"/>
    <n v="666"/>
    <x v="2"/>
    <n v="6.7"/>
    <n v="27.6"/>
    <x v="1"/>
    <x v="269"/>
    <x v="0"/>
  </r>
  <r>
    <s v="CL100292"/>
    <x v="2"/>
    <s v="Tier 2"/>
    <x v="2"/>
    <n v="583526"/>
    <x v="260"/>
    <n v="36"/>
    <n v="151769"/>
    <n v="658"/>
    <x v="0"/>
    <n v="12.4"/>
    <n v="28.5"/>
    <x v="2"/>
    <x v="270"/>
    <x v="0"/>
  </r>
  <r>
    <s v="CL100293"/>
    <x v="0"/>
    <s v="Tier 2"/>
    <x v="0"/>
    <n v="325752"/>
    <x v="166"/>
    <n v="36"/>
    <n v="146542"/>
    <n v="784"/>
    <x v="1"/>
    <n v="2.2000000000000002"/>
    <n v="18.7"/>
    <x v="1"/>
    <x v="210"/>
    <x v="3"/>
  </r>
  <r>
    <s v="CL100294"/>
    <x v="4"/>
    <s v="Tier 1"/>
    <x v="1"/>
    <n v="618369"/>
    <x v="261"/>
    <n v="12"/>
    <n v="134438"/>
    <n v="833"/>
    <x v="1"/>
    <n v="14"/>
    <n v="26.2"/>
    <x v="1"/>
    <x v="21"/>
    <x v="3"/>
  </r>
  <r>
    <s v="CL100295"/>
    <x v="0"/>
    <s v="Tier 1"/>
    <x v="2"/>
    <n v="252644"/>
    <x v="262"/>
    <n v="300"/>
    <n v="28924"/>
    <n v="709"/>
    <x v="2"/>
    <n v="12.6"/>
    <n v="26.8"/>
    <x v="2"/>
    <x v="184"/>
    <x v="2"/>
  </r>
  <r>
    <s v="CL100296"/>
    <x v="2"/>
    <s v="Tier 1"/>
    <x v="4"/>
    <n v="204775"/>
    <x v="263"/>
    <n v="48"/>
    <n v="79322"/>
    <n v="663"/>
    <x v="2"/>
    <n v="3.6"/>
    <n v="36.299999999999997"/>
    <x v="1"/>
    <x v="271"/>
    <x v="0"/>
  </r>
  <r>
    <s v="CL100297"/>
    <x v="4"/>
    <s v="Tier 1"/>
    <x v="0"/>
    <n v="67551"/>
    <x v="264"/>
    <n v="240"/>
    <n v="185550"/>
    <n v="766"/>
    <x v="1"/>
    <n v="11.1"/>
    <n v="45.6"/>
    <x v="1"/>
    <x v="272"/>
    <x v="3"/>
  </r>
  <r>
    <s v="CL100298"/>
    <x v="3"/>
    <s v="Tier 2"/>
    <x v="0"/>
    <n v="739983"/>
    <x v="265"/>
    <n v="48"/>
    <n v="99042"/>
    <n v="625"/>
    <x v="0"/>
    <n v="8.4"/>
    <n v="21.2"/>
    <x v="0"/>
    <x v="273"/>
    <x v="1"/>
  </r>
  <r>
    <s v="CL100299"/>
    <x v="4"/>
    <s v="Tier 1"/>
    <x v="2"/>
    <n v="682800"/>
    <x v="266"/>
    <n v="12"/>
    <n v="74418"/>
    <n v="762"/>
    <x v="1"/>
    <n v="13"/>
    <n v="9.6999999999999993"/>
    <x v="3"/>
    <x v="274"/>
    <x v="3"/>
  </r>
  <r>
    <s v="CL100300"/>
    <x v="4"/>
    <s v="Tier 1"/>
    <x v="1"/>
    <n v="171277"/>
    <x v="267"/>
    <n v="12"/>
    <n v="128699"/>
    <n v="847"/>
    <x v="0"/>
    <n v="14.6"/>
    <n v="27.9"/>
    <x v="1"/>
    <x v="275"/>
    <x v="3"/>
  </r>
  <r>
    <s v="CL100301"/>
    <x v="0"/>
    <s v="Tier 3"/>
    <x v="0"/>
    <n v="85811"/>
    <x v="268"/>
    <n v="36"/>
    <n v="118140"/>
    <n v="679"/>
    <x v="1"/>
    <n v="0.2"/>
    <n v="29.8"/>
    <x v="2"/>
    <x v="195"/>
    <x v="0"/>
  </r>
  <r>
    <s v="CL100302"/>
    <x v="0"/>
    <s v="Tier 3"/>
    <x v="2"/>
    <n v="469028"/>
    <x v="269"/>
    <n v="60"/>
    <n v="39781"/>
    <n v="657"/>
    <x v="3"/>
    <n v="19"/>
    <n v="14.7"/>
    <x v="0"/>
    <x v="276"/>
    <x v="0"/>
  </r>
  <r>
    <s v="CL100303"/>
    <x v="3"/>
    <s v="Tier 3"/>
    <x v="0"/>
    <n v="373266"/>
    <x v="270"/>
    <n v="300"/>
    <n v="164587"/>
    <n v="741"/>
    <x v="0"/>
    <n v="17.8"/>
    <n v="38.4"/>
    <x v="1"/>
    <x v="277"/>
    <x v="2"/>
  </r>
  <r>
    <s v="CL100304"/>
    <x v="3"/>
    <s v="Tier 3"/>
    <x v="2"/>
    <n v="239104"/>
    <x v="119"/>
    <n v="120"/>
    <n v="145358"/>
    <n v="623"/>
    <x v="1"/>
    <n v="9.1999999999999993"/>
    <n v="47.4"/>
    <x v="0"/>
    <x v="278"/>
    <x v="1"/>
  </r>
  <r>
    <s v="CL100305"/>
    <x v="8"/>
    <s v="Tier 1"/>
    <x v="0"/>
    <n v="548296"/>
    <x v="271"/>
    <n v="300"/>
    <n v="64133"/>
    <n v="817"/>
    <x v="0"/>
    <n v="1.3"/>
    <n v="45.8"/>
    <x v="1"/>
    <x v="159"/>
    <x v="3"/>
  </r>
  <r>
    <s v="CL100306"/>
    <x v="0"/>
    <s v="Tier 1"/>
    <x v="5"/>
    <n v="207346"/>
    <x v="133"/>
    <n v="120"/>
    <n v="125628"/>
    <n v="713"/>
    <x v="0"/>
    <n v="18.899999999999999"/>
    <n v="15.9"/>
    <x v="1"/>
    <x v="279"/>
    <x v="2"/>
  </r>
  <r>
    <s v="CL100307"/>
    <x v="4"/>
    <s v="Tier 2"/>
    <x v="0"/>
    <n v="561690"/>
    <x v="202"/>
    <n v="36"/>
    <n v="104946"/>
    <n v="771"/>
    <x v="0"/>
    <n v="23.9"/>
    <n v="43"/>
    <x v="0"/>
    <x v="280"/>
    <x v="3"/>
  </r>
  <r>
    <s v="CL100308"/>
    <x v="2"/>
    <s v="Tier 2"/>
    <x v="0"/>
    <n v="189456"/>
    <x v="272"/>
    <n v="120"/>
    <n v="113058"/>
    <n v="597"/>
    <x v="1"/>
    <n v="6"/>
    <n v="36.200000000000003"/>
    <x v="2"/>
    <x v="281"/>
    <x v="1"/>
  </r>
  <r>
    <s v="CL100309"/>
    <x v="4"/>
    <s v="Tier 1"/>
    <x v="0"/>
    <n v="404009"/>
    <x v="273"/>
    <n v="12"/>
    <n v="168167"/>
    <n v="591"/>
    <x v="3"/>
    <n v="8.1"/>
    <n v="26.2"/>
    <x v="1"/>
    <x v="282"/>
    <x v="1"/>
  </r>
  <r>
    <s v="CL100310"/>
    <x v="0"/>
    <s v="Tier 3"/>
    <x v="0"/>
    <n v="501043"/>
    <x v="274"/>
    <n v="48"/>
    <n v="179542"/>
    <n v="759"/>
    <x v="3"/>
    <n v="4.5999999999999996"/>
    <n v="29.6"/>
    <x v="1"/>
    <x v="283"/>
    <x v="3"/>
  </r>
  <r>
    <s v="CL100311"/>
    <x v="4"/>
    <s v="Tier 1"/>
    <x v="3"/>
    <n v="141643"/>
    <x v="275"/>
    <n v="120"/>
    <n v="71129"/>
    <n v="702"/>
    <x v="0"/>
    <n v="14.4"/>
    <n v="42"/>
    <x v="1"/>
    <x v="284"/>
    <x v="2"/>
  </r>
  <r>
    <s v="CL100312"/>
    <x v="4"/>
    <s v="Tier 1"/>
    <x v="5"/>
    <n v="495083"/>
    <x v="49"/>
    <n v="300"/>
    <n v="36531"/>
    <n v="825"/>
    <x v="3"/>
    <n v="3.9"/>
    <n v="27.2"/>
    <x v="1"/>
    <x v="285"/>
    <x v="3"/>
  </r>
  <r>
    <s v="CL100313"/>
    <x v="1"/>
    <s v="Tier 2"/>
    <x v="0"/>
    <n v="118550"/>
    <x v="276"/>
    <n v="240"/>
    <n v="65038"/>
    <n v="801"/>
    <x v="1"/>
    <n v="8.9"/>
    <n v="22.9"/>
    <x v="1"/>
    <x v="286"/>
    <x v="3"/>
  </r>
  <r>
    <s v="CL100314"/>
    <x v="2"/>
    <s v="Tier 2"/>
    <x v="1"/>
    <n v="489146"/>
    <x v="277"/>
    <n v="36"/>
    <n v="115939"/>
    <n v="630"/>
    <x v="0"/>
    <n v="17.399999999999999"/>
    <n v="27.7"/>
    <x v="1"/>
    <x v="287"/>
    <x v="1"/>
  </r>
  <r>
    <s v="CL100315"/>
    <x v="3"/>
    <s v="Tier 2"/>
    <x v="2"/>
    <n v="96218"/>
    <x v="278"/>
    <n v="60"/>
    <n v="70674"/>
    <n v="650"/>
    <x v="0"/>
    <n v="14"/>
    <n v="31.2"/>
    <x v="0"/>
    <x v="288"/>
    <x v="0"/>
  </r>
  <r>
    <s v="CL100316"/>
    <x v="0"/>
    <s v="Tier 1"/>
    <x v="3"/>
    <n v="138296"/>
    <x v="279"/>
    <n v="36"/>
    <n v="155572"/>
    <n v="627"/>
    <x v="0"/>
    <n v="9.6999999999999993"/>
    <n v="15.6"/>
    <x v="1"/>
    <x v="289"/>
    <x v="1"/>
  </r>
  <r>
    <s v="CL100317"/>
    <x v="4"/>
    <s v="Tier 3"/>
    <x v="4"/>
    <n v="504909"/>
    <x v="280"/>
    <n v="24"/>
    <n v="57831"/>
    <n v="598"/>
    <x v="3"/>
    <n v="10.5"/>
    <n v="44"/>
    <x v="1"/>
    <x v="290"/>
    <x v="1"/>
  </r>
  <r>
    <s v="CL100318"/>
    <x v="4"/>
    <s v="Tier 1"/>
    <x v="1"/>
    <n v="523767"/>
    <x v="281"/>
    <n v="36"/>
    <n v="85174"/>
    <n v="841"/>
    <x v="1"/>
    <n v="14.1"/>
    <n v="35"/>
    <x v="3"/>
    <x v="291"/>
    <x v="3"/>
  </r>
  <r>
    <s v="CL100319"/>
    <x v="4"/>
    <s v="Tier 1"/>
    <x v="1"/>
    <n v="184767"/>
    <x v="282"/>
    <n v="12"/>
    <n v="39279"/>
    <n v="663"/>
    <x v="1"/>
    <n v="0.1"/>
    <n v="33.299999999999997"/>
    <x v="3"/>
    <x v="82"/>
    <x v="0"/>
  </r>
  <r>
    <s v="CL100320"/>
    <x v="0"/>
    <s v="Tier 3"/>
    <x v="4"/>
    <n v="396858"/>
    <x v="283"/>
    <n v="48"/>
    <n v="197292"/>
    <n v="734"/>
    <x v="0"/>
    <n v="2"/>
    <n v="12"/>
    <x v="1"/>
    <x v="292"/>
    <x v="2"/>
  </r>
  <r>
    <s v="CL100321"/>
    <x v="3"/>
    <s v="Tier 3"/>
    <x v="0"/>
    <n v="245016"/>
    <x v="284"/>
    <n v="48"/>
    <n v="88610"/>
    <n v="632"/>
    <x v="1"/>
    <n v="22"/>
    <n v="32.200000000000003"/>
    <x v="1"/>
    <x v="293"/>
    <x v="1"/>
  </r>
  <r>
    <s v="CL100322"/>
    <x v="3"/>
    <s v="Tier 3"/>
    <x v="4"/>
    <n v="37441"/>
    <x v="285"/>
    <n v="240"/>
    <n v="211791"/>
    <n v="686"/>
    <x v="0"/>
    <n v="1.9"/>
    <n v="12.8"/>
    <x v="0"/>
    <x v="294"/>
    <x v="0"/>
  </r>
  <r>
    <s v="CL100323"/>
    <x v="4"/>
    <s v="Tier 3"/>
    <x v="0"/>
    <n v="243038"/>
    <x v="286"/>
    <n v="120"/>
    <n v="81051"/>
    <n v="714"/>
    <x v="0"/>
    <n v="17.7"/>
    <n v="11.1"/>
    <x v="1"/>
    <x v="295"/>
    <x v="2"/>
  </r>
  <r>
    <s v="CL100324"/>
    <x v="1"/>
    <s v="Tier 2"/>
    <x v="2"/>
    <n v="699489"/>
    <x v="72"/>
    <n v="12"/>
    <n v="84652"/>
    <n v="648"/>
    <x v="1"/>
    <n v="23"/>
    <n v="29.1"/>
    <x v="1"/>
    <x v="296"/>
    <x v="1"/>
  </r>
  <r>
    <s v="CL100325"/>
    <x v="2"/>
    <s v="Tier 2"/>
    <x v="0"/>
    <n v="621410"/>
    <x v="287"/>
    <n v="24"/>
    <n v="93524"/>
    <n v="590"/>
    <x v="0"/>
    <n v="6.8"/>
    <n v="24.1"/>
    <x v="0"/>
    <x v="297"/>
    <x v="1"/>
  </r>
  <r>
    <s v="CL100326"/>
    <x v="0"/>
    <s v="Tier 1"/>
    <x v="4"/>
    <n v="49760"/>
    <x v="288"/>
    <n v="12"/>
    <n v="34470"/>
    <n v="722"/>
    <x v="1"/>
    <n v="9.3000000000000007"/>
    <n v="31.6"/>
    <x v="1"/>
    <x v="298"/>
    <x v="2"/>
  </r>
  <r>
    <s v="CL100327"/>
    <x v="3"/>
    <s v="Tier 1"/>
    <x v="1"/>
    <n v="290622"/>
    <x v="289"/>
    <n v="36"/>
    <n v="200870"/>
    <n v="771"/>
    <x v="0"/>
    <n v="14.2"/>
    <n v="11.6"/>
    <x v="1"/>
    <x v="299"/>
    <x v="3"/>
  </r>
  <r>
    <s v="CL100328"/>
    <x v="0"/>
    <s v="Tier 1"/>
    <x v="4"/>
    <n v="352860"/>
    <x v="87"/>
    <n v="12"/>
    <n v="81473"/>
    <n v="648"/>
    <x v="1"/>
    <n v="22"/>
    <n v="25.2"/>
    <x v="1"/>
    <x v="138"/>
    <x v="1"/>
  </r>
  <r>
    <s v="CL100329"/>
    <x v="4"/>
    <s v="Tier 1"/>
    <x v="0"/>
    <n v="672540"/>
    <x v="290"/>
    <n v="12"/>
    <n v="178952"/>
    <n v="602"/>
    <x v="0"/>
    <n v="23.5"/>
    <n v="15"/>
    <x v="1"/>
    <x v="300"/>
    <x v="1"/>
  </r>
  <r>
    <s v="CL100330"/>
    <x v="4"/>
    <s v="Tier 2"/>
    <x v="4"/>
    <n v="103538"/>
    <x v="96"/>
    <n v="240"/>
    <n v="72439"/>
    <n v="760"/>
    <x v="0"/>
    <n v="18.5"/>
    <n v="47.5"/>
    <x v="1"/>
    <x v="301"/>
    <x v="3"/>
  </r>
  <r>
    <s v="CL100331"/>
    <x v="2"/>
    <s v="Tier 1"/>
    <x v="4"/>
    <n v="544660"/>
    <x v="291"/>
    <n v="24"/>
    <n v="42308"/>
    <n v="588"/>
    <x v="0"/>
    <n v="2.2000000000000002"/>
    <n v="30.4"/>
    <x v="2"/>
    <x v="302"/>
    <x v="1"/>
  </r>
  <r>
    <s v="CL100332"/>
    <x v="4"/>
    <s v="Tier 1"/>
    <x v="4"/>
    <n v="516511"/>
    <x v="292"/>
    <n v="36"/>
    <n v="119563"/>
    <n v="672"/>
    <x v="0"/>
    <n v="16.7"/>
    <n v="35.5"/>
    <x v="1"/>
    <x v="303"/>
    <x v="0"/>
  </r>
  <r>
    <s v="CL100333"/>
    <x v="4"/>
    <s v="Tier 1"/>
    <x v="4"/>
    <n v="226035"/>
    <x v="284"/>
    <n v="60"/>
    <n v="63081"/>
    <n v="596"/>
    <x v="3"/>
    <n v="10.3"/>
    <n v="21"/>
    <x v="1"/>
    <x v="304"/>
    <x v="1"/>
  </r>
  <r>
    <s v="CL100334"/>
    <x v="4"/>
    <s v="Tier 2"/>
    <x v="4"/>
    <n v="387736"/>
    <x v="127"/>
    <n v="240"/>
    <n v="209455"/>
    <n v="733"/>
    <x v="0"/>
    <n v="11.8"/>
    <n v="11.8"/>
    <x v="1"/>
    <x v="305"/>
    <x v="2"/>
  </r>
  <r>
    <s v="CL100335"/>
    <x v="4"/>
    <s v="Tier 1"/>
    <x v="2"/>
    <n v="360779"/>
    <x v="293"/>
    <n v="60"/>
    <n v="37837"/>
    <n v="728"/>
    <x v="1"/>
    <n v="1.2"/>
    <n v="47"/>
    <x v="2"/>
    <x v="306"/>
    <x v="2"/>
  </r>
  <r>
    <s v="CL100336"/>
    <x v="5"/>
    <s v="Tier 3"/>
    <x v="0"/>
    <n v="640310"/>
    <x v="294"/>
    <n v="240"/>
    <n v="211223"/>
    <n v="846"/>
    <x v="2"/>
    <n v="4.8"/>
    <n v="19.5"/>
    <x v="0"/>
    <x v="307"/>
    <x v="3"/>
  </r>
  <r>
    <s v="CL100337"/>
    <x v="3"/>
    <s v="Tier 1"/>
    <x v="3"/>
    <n v="583328"/>
    <x v="295"/>
    <n v="48"/>
    <n v="146128"/>
    <n v="685"/>
    <x v="0"/>
    <n v="19.8"/>
    <n v="25"/>
    <x v="1"/>
    <x v="308"/>
    <x v="0"/>
  </r>
  <r>
    <s v="CL100338"/>
    <x v="0"/>
    <s v="Tier 1"/>
    <x v="1"/>
    <n v="731728"/>
    <x v="296"/>
    <n v="300"/>
    <n v="195896"/>
    <n v="614"/>
    <x v="0"/>
    <n v="11.3"/>
    <n v="34"/>
    <x v="3"/>
    <x v="309"/>
    <x v="1"/>
  </r>
  <r>
    <s v="CL100339"/>
    <x v="4"/>
    <s v="Tier 2"/>
    <x v="0"/>
    <n v="607644"/>
    <x v="297"/>
    <n v="240"/>
    <n v="192145"/>
    <n v="698"/>
    <x v="1"/>
    <n v="7.5"/>
    <n v="9"/>
    <x v="1"/>
    <x v="310"/>
    <x v="0"/>
  </r>
  <r>
    <s v="CL100340"/>
    <x v="0"/>
    <s v="Tier 3"/>
    <x v="0"/>
    <n v="283355"/>
    <x v="298"/>
    <n v="120"/>
    <n v="140651"/>
    <n v="593"/>
    <x v="2"/>
    <n v="9.6"/>
    <n v="40.4"/>
    <x v="1"/>
    <x v="311"/>
    <x v="1"/>
  </r>
  <r>
    <s v="CL100341"/>
    <x v="0"/>
    <s v="Tier 1"/>
    <x v="0"/>
    <n v="372570"/>
    <x v="266"/>
    <n v="12"/>
    <n v="125624"/>
    <n v="593"/>
    <x v="3"/>
    <n v="21.4"/>
    <n v="29.5"/>
    <x v="1"/>
    <x v="44"/>
    <x v="1"/>
  </r>
  <r>
    <s v="CL100342"/>
    <x v="4"/>
    <s v="Tier 2"/>
    <x v="2"/>
    <n v="272986"/>
    <x v="299"/>
    <n v="48"/>
    <n v="185371"/>
    <n v="845"/>
    <x v="0"/>
    <n v="18.7"/>
    <n v="19.100000000000001"/>
    <x v="1"/>
    <x v="312"/>
    <x v="3"/>
  </r>
  <r>
    <s v="CL100343"/>
    <x v="0"/>
    <s v="Tier 2"/>
    <x v="2"/>
    <n v="461331"/>
    <x v="300"/>
    <n v="24"/>
    <n v="217933"/>
    <n v="719"/>
    <x v="1"/>
    <n v="6.8"/>
    <n v="10.5"/>
    <x v="1"/>
    <x v="313"/>
    <x v="2"/>
  </r>
  <r>
    <s v="CL100344"/>
    <x v="0"/>
    <s v="Tier 1"/>
    <x v="2"/>
    <n v="392881"/>
    <x v="133"/>
    <n v="60"/>
    <n v="58063"/>
    <n v="698"/>
    <x v="0"/>
    <n v="2.9"/>
    <n v="14.5"/>
    <x v="0"/>
    <x v="314"/>
    <x v="0"/>
  </r>
  <r>
    <s v="CL100345"/>
    <x v="3"/>
    <s v="Tier 3"/>
    <x v="1"/>
    <n v="313112"/>
    <x v="86"/>
    <n v="300"/>
    <n v="97453"/>
    <n v="817"/>
    <x v="2"/>
    <n v="6.3"/>
    <n v="43.8"/>
    <x v="1"/>
    <x v="315"/>
    <x v="3"/>
  </r>
  <r>
    <s v="CL100346"/>
    <x v="3"/>
    <s v="Tier 2"/>
    <x v="1"/>
    <n v="158077"/>
    <x v="301"/>
    <n v="300"/>
    <n v="130166"/>
    <n v="613"/>
    <x v="2"/>
    <n v="23"/>
    <n v="35.4"/>
    <x v="0"/>
    <x v="298"/>
    <x v="1"/>
  </r>
  <r>
    <s v="CL100347"/>
    <x v="4"/>
    <s v="Tier 2"/>
    <x v="0"/>
    <n v="59575"/>
    <x v="126"/>
    <n v="240"/>
    <n v="42506"/>
    <n v="748"/>
    <x v="0"/>
    <n v="14.5"/>
    <n v="18"/>
    <x v="1"/>
    <x v="316"/>
    <x v="2"/>
  </r>
  <r>
    <s v="CL100348"/>
    <x v="0"/>
    <s v="Tier 3"/>
    <x v="0"/>
    <n v="478958"/>
    <x v="302"/>
    <n v="12"/>
    <n v="141604"/>
    <n v="589"/>
    <x v="0"/>
    <n v="13.3"/>
    <n v="10.6"/>
    <x v="1"/>
    <x v="317"/>
    <x v="1"/>
  </r>
  <r>
    <s v="CL100349"/>
    <x v="3"/>
    <s v="Tier 3"/>
    <x v="1"/>
    <n v="679331"/>
    <x v="303"/>
    <n v="24"/>
    <n v="54026"/>
    <n v="701"/>
    <x v="0"/>
    <n v="14.9"/>
    <n v="35.6"/>
    <x v="1"/>
    <x v="318"/>
    <x v="2"/>
  </r>
  <r>
    <s v="CL100350"/>
    <x v="0"/>
    <s v="Tier 2"/>
    <x v="0"/>
    <n v="423815"/>
    <x v="304"/>
    <n v="120"/>
    <n v="186744"/>
    <n v="724"/>
    <x v="0"/>
    <n v="9.1999999999999993"/>
    <n v="30.9"/>
    <x v="2"/>
    <x v="319"/>
    <x v="2"/>
  </r>
  <r>
    <s v="CL100351"/>
    <x v="5"/>
    <s v="Tier 3"/>
    <x v="0"/>
    <n v="485808"/>
    <x v="305"/>
    <n v="24"/>
    <n v="197489"/>
    <n v="802"/>
    <x v="1"/>
    <n v="20.2"/>
    <n v="24.2"/>
    <x v="1"/>
    <x v="320"/>
    <x v="3"/>
  </r>
  <r>
    <s v="CL100352"/>
    <x v="3"/>
    <s v="Tier 2"/>
    <x v="4"/>
    <n v="596202"/>
    <x v="306"/>
    <n v="12"/>
    <n v="80413"/>
    <n v="836"/>
    <x v="0"/>
    <n v="13.1"/>
    <n v="22.5"/>
    <x v="0"/>
    <x v="144"/>
    <x v="3"/>
  </r>
  <r>
    <s v="CL100353"/>
    <x v="4"/>
    <s v="Tier 2"/>
    <x v="2"/>
    <n v="596343"/>
    <x v="307"/>
    <n v="120"/>
    <n v="93066"/>
    <n v="847"/>
    <x v="0"/>
    <n v="2.9"/>
    <n v="16.7"/>
    <x v="1"/>
    <x v="321"/>
    <x v="3"/>
  </r>
  <r>
    <s v="CL100354"/>
    <x v="4"/>
    <s v="Tier 2"/>
    <x v="5"/>
    <n v="616985"/>
    <x v="44"/>
    <n v="24"/>
    <n v="218285"/>
    <n v="583"/>
    <x v="0"/>
    <n v="3.2"/>
    <n v="34.799999999999997"/>
    <x v="1"/>
    <x v="322"/>
    <x v="1"/>
  </r>
  <r>
    <s v="CL100355"/>
    <x v="3"/>
    <s v="Tier 2"/>
    <x v="6"/>
    <n v="635527"/>
    <x v="290"/>
    <n v="120"/>
    <n v="78971"/>
    <n v="685"/>
    <x v="2"/>
    <n v="13.4"/>
    <n v="46.8"/>
    <x v="1"/>
    <x v="323"/>
    <x v="0"/>
  </r>
  <r>
    <s v="CL100356"/>
    <x v="4"/>
    <s v="Tier 1"/>
    <x v="4"/>
    <n v="240469"/>
    <x v="308"/>
    <n v="240"/>
    <n v="186353"/>
    <n v="664"/>
    <x v="1"/>
    <n v="23.4"/>
    <n v="15"/>
    <x v="1"/>
    <x v="324"/>
    <x v="0"/>
  </r>
  <r>
    <s v="CL100357"/>
    <x v="0"/>
    <s v="Tier 3"/>
    <x v="1"/>
    <n v="128106"/>
    <x v="162"/>
    <n v="240"/>
    <n v="141978"/>
    <n v="793"/>
    <x v="0"/>
    <n v="7.7"/>
    <n v="31.9"/>
    <x v="1"/>
    <x v="25"/>
    <x v="3"/>
  </r>
  <r>
    <s v="CL100358"/>
    <x v="6"/>
    <s v="Tier 3"/>
    <x v="4"/>
    <n v="472835"/>
    <x v="309"/>
    <n v="12"/>
    <n v="187163"/>
    <n v="700"/>
    <x v="0"/>
    <n v="21.7"/>
    <n v="25"/>
    <x v="1"/>
    <x v="325"/>
    <x v="2"/>
  </r>
  <r>
    <s v="CL100359"/>
    <x v="0"/>
    <s v="Tier 1"/>
    <x v="2"/>
    <n v="305486"/>
    <x v="66"/>
    <n v="12"/>
    <n v="78494"/>
    <n v="711"/>
    <x v="2"/>
    <n v="19.100000000000001"/>
    <n v="25.9"/>
    <x v="0"/>
    <x v="95"/>
    <x v="2"/>
  </r>
  <r>
    <s v="CL100360"/>
    <x v="0"/>
    <s v="Tier 3"/>
    <x v="0"/>
    <n v="7257"/>
    <x v="310"/>
    <n v="120"/>
    <n v="131864"/>
    <n v="776"/>
    <x v="1"/>
    <n v="6.2"/>
    <n v="18.2"/>
    <x v="1"/>
    <x v="326"/>
    <x v="3"/>
  </r>
  <r>
    <s v="CL100361"/>
    <x v="3"/>
    <s v="Tier 1"/>
    <x v="1"/>
    <n v="294508"/>
    <x v="311"/>
    <n v="36"/>
    <n v="177682"/>
    <n v="598"/>
    <x v="0"/>
    <n v="0.9"/>
    <n v="41"/>
    <x v="0"/>
    <x v="327"/>
    <x v="1"/>
  </r>
  <r>
    <s v="CL100362"/>
    <x v="0"/>
    <s v="Tier 1"/>
    <x v="3"/>
    <n v="685332"/>
    <x v="312"/>
    <n v="48"/>
    <n v="160151"/>
    <n v="709"/>
    <x v="0"/>
    <n v="2.5"/>
    <n v="27.4"/>
    <x v="1"/>
    <x v="328"/>
    <x v="2"/>
  </r>
  <r>
    <s v="CL100363"/>
    <x v="0"/>
    <s v="Tier 2"/>
    <x v="1"/>
    <n v="116715"/>
    <x v="313"/>
    <n v="300"/>
    <n v="123386"/>
    <n v="591"/>
    <x v="0"/>
    <n v="18.2"/>
    <n v="29.7"/>
    <x v="1"/>
    <x v="329"/>
    <x v="1"/>
  </r>
  <r>
    <s v="CL100364"/>
    <x v="6"/>
    <s v="Tier 1"/>
    <x v="4"/>
    <n v="31654"/>
    <x v="314"/>
    <n v="24"/>
    <n v="205823"/>
    <n v="660"/>
    <x v="0"/>
    <n v="5"/>
    <n v="20.2"/>
    <x v="0"/>
    <x v="330"/>
    <x v="0"/>
  </r>
  <r>
    <s v="CL100365"/>
    <x v="0"/>
    <s v="Tier 3"/>
    <x v="4"/>
    <n v="741129"/>
    <x v="158"/>
    <n v="24"/>
    <n v="114126"/>
    <n v="841"/>
    <x v="0"/>
    <n v="9.3000000000000007"/>
    <n v="15.3"/>
    <x v="1"/>
    <x v="331"/>
    <x v="3"/>
  </r>
  <r>
    <s v="CL100366"/>
    <x v="1"/>
    <s v="Tier 3"/>
    <x v="0"/>
    <n v="348567"/>
    <x v="315"/>
    <n v="36"/>
    <n v="214504"/>
    <n v="704"/>
    <x v="3"/>
    <n v="12.5"/>
    <n v="11.4"/>
    <x v="1"/>
    <x v="332"/>
    <x v="2"/>
  </r>
  <r>
    <s v="CL100367"/>
    <x v="7"/>
    <s v="Tier 2"/>
    <x v="0"/>
    <n v="296464"/>
    <x v="316"/>
    <n v="36"/>
    <n v="190023"/>
    <n v="846"/>
    <x v="0"/>
    <n v="18.100000000000001"/>
    <n v="36.6"/>
    <x v="0"/>
    <x v="333"/>
    <x v="3"/>
  </r>
  <r>
    <s v="CL100368"/>
    <x v="4"/>
    <s v="Tier 1"/>
    <x v="0"/>
    <n v="550096"/>
    <x v="317"/>
    <n v="36"/>
    <n v="108863"/>
    <n v="719"/>
    <x v="3"/>
    <n v="2.8"/>
    <n v="15.8"/>
    <x v="3"/>
    <x v="334"/>
    <x v="2"/>
  </r>
  <r>
    <s v="CL100369"/>
    <x v="4"/>
    <s v="Tier 1"/>
    <x v="0"/>
    <n v="581677"/>
    <x v="318"/>
    <n v="60"/>
    <n v="106291"/>
    <n v="581"/>
    <x v="0"/>
    <n v="10.199999999999999"/>
    <n v="35.6"/>
    <x v="1"/>
    <x v="335"/>
    <x v="1"/>
  </r>
  <r>
    <s v="CL100370"/>
    <x v="4"/>
    <s v="Tier 2"/>
    <x v="0"/>
    <n v="493906"/>
    <x v="319"/>
    <n v="60"/>
    <n v="153659"/>
    <n v="587"/>
    <x v="1"/>
    <n v="12.1"/>
    <n v="23.6"/>
    <x v="1"/>
    <x v="336"/>
    <x v="1"/>
  </r>
  <r>
    <s v="CL100371"/>
    <x v="4"/>
    <s v="Tier 3"/>
    <x v="3"/>
    <n v="123581"/>
    <x v="320"/>
    <n v="120"/>
    <n v="218944"/>
    <n v="829"/>
    <x v="1"/>
    <n v="13.5"/>
    <n v="24.6"/>
    <x v="3"/>
    <x v="337"/>
    <x v="3"/>
  </r>
  <r>
    <s v="CL100372"/>
    <x v="4"/>
    <s v="Tier 2"/>
    <x v="0"/>
    <n v="132927"/>
    <x v="106"/>
    <n v="60"/>
    <n v="35235"/>
    <n v="718"/>
    <x v="0"/>
    <n v="20.5"/>
    <n v="26.8"/>
    <x v="1"/>
    <x v="175"/>
    <x v="2"/>
  </r>
  <r>
    <s v="CL100373"/>
    <x v="3"/>
    <s v="Tier 1"/>
    <x v="1"/>
    <n v="39773"/>
    <x v="321"/>
    <n v="240"/>
    <n v="110733"/>
    <n v="703"/>
    <x v="0"/>
    <n v="4.3"/>
    <n v="22.7"/>
    <x v="0"/>
    <x v="338"/>
    <x v="2"/>
  </r>
  <r>
    <s v="CL100374"/>
    <x v="4"/>
    <s v="Tier 2"/>
    <x v="0"/>
    <n v="711528"/>
    <x v="322"/>
    <n v="240"/>
    <n v="90712"/>
    <n v="807"/>
    <x v="1"/>
    <n v="20.2"/>
    <n v="12"/>
    <x v="1"/>
    <x v="339"/>
    <x v="3"/>
  </r>
  <r>
    <s v="CL100375"/>
    <x v="4"/>
    <s v="Tier 2"/>
    <x v="6"/>
    <n v="425963"/>
    <x v="323"/>
    <n v="12"/>
    <n v="180545"/>
    <n v="589"/>
    <x v="0"/>
    <n v="17.3"/>
    <n v="20.399999999999999"/>
    <x v="1"/>
    <x v="340"/>
    <x v="1"/>
  </r>
  <r>
    <s v="CL100376"/>
    <x v="2"/>
    <s v="Tier 2"/>
    <x v="0"/>
    <n v="343540"/>
    <x v="324"/>
    <n v="300"/>
    <n v="153849"/>
    <n v="791"/>
    <x v="0"/>
    <n v="13.9"/>
    <n v="34.5"/>
    <x v="0"/>
    <x v="341"/>
    <x v="3"/>
  </r>
  <r>
    <s v="CL100377"/>
    <x v="4"/>
    <s v="Tier 1"/>
    <x v="1"/>
    <n v="506590"/>
    <x v="325"/>
    <n v="120"/>
    <n v="107823"/>
    <n v="691"/>
    <x v="0"/>
    <n v="17.5"/>
    <n v="34.6"/>
    <x v="0"/>
    <x v="342"/>
    <x v="0"/>
  </r>
  <r>
    <s v="CL100378"/>
    <x v="2"/>
    <s v="Tier 2"/>
    <x v="3"/>
    <n v="374836"/>
    <x v="267"/>
    <n v="300"/>
    <n v="132215"/>
    <n v="587"/>
    <x v="2"/>
    <n v="10.3"/>
    <n v="19.399999999999999"/>
    <x v="1"/>
    <x v="343"/>
    <x v="1"/>
  </r>
  <r>
    <s v="CL100379"/>
    <x v="4"/>
    <s v="Tier 2"/>
    <x v="3"/>
    <n v="219764"/>
    <x v="326"/>
    <n v="24"/>
    <n v="60230"/>
    <n v="832"/>
    <x v="0"/>
    <n v="3.5"/>
    <n v="26.4"/>
    <x v="1"/>
    <x v="344"/>
    <x v="3"/>
  </r>
  <r>
    <s v="CL100380"/>
    <x v="4"/>
    <s v="Tier 3"/>
    <x v="0"/>
    <n v="586793"/>
    <x v="105"/>
    <n v="48"/>
    <n v="112573"/>
    <n v="593"/>
    <x v="1"/>
    <n v="16.600000000000001"/>
    <n v="15.7"/>
    <x v="0"/>
    <x v="345"/>
    <x v="1"/>
  </r>
  <r>
    <s v="CL100381"/>
    <x v="3"/>
    <s v="Tier 1"/>
    <x v="2"/>
    <n v="547423"/>
    <x v="113"/>
    <n v="12"/>
    <n v="68644"/>
    <n v="819"/>
    <x v="0"/>
    <n v="13.1"/>
    <n v="16.399999999999999"/>
    <x v="0"/>
    <x v="346"/>
    <x v="3"/>
  </r>
  <r>
    <s v="CL100382"/>
    <x v="3"/>
    <s v="Tier 2"/>
    <x v="1"/>
    <n v="620175"/>
    <x v="327"/>
    <n v="24"/>
    <n v="207736"/>
    <n v="821"/>
    <x v="1"/>
    <n v="16"/>
    <n v="8.9"/>
    <x v="1"/>
    <x v="106"/>
    <x v="3"/>
  </r>
  <r>
    <s v="CL100383"/>
    <x v="5"/>
    <s v="Tier 3"/>
    <x v="1"/>
    <n v="127118"/>
    <x v="138"/>
    <n v="24"/>
    <n v="73203"/>
    <n v="728"/>
    <x v="0"/>
    <n v="8.4"/>
    <n v="43.9"/>
    <x v="0"/>
    <x v="347"/>
    <x v="2"/>
  </r>
  <r>
    <s v="CL100384"/>
    <x v="2"/>
    <s v="Tier 1"/>
    <x v="0"/>
    <n v="314521"/>
    <x v="328"/>
    <n v="120"/>
    <n v="94677"/>
    <n v="815"/>
    <x v="3"/>
    <n v="22.7"/>
    <n v="16.399999999999999"/>
    <x v="0"/>
    <x v="348"/>
    <x v="3"/>
  </r>
  <r>
    <s v="CL100385"/>
    <x v="2"/>
    <s v="Tier 3"/>
    <x v="0"/>
    <n v="159626"/>
    <x v="329"/>
    <n v="36"/>
    <n v="184497"/>
    <n v="746"/>
    <x v="0"/>
    <n v="14.7"/>
    <n v="17.100000000000001"/>
    <x v="0"/>
    <x v="342"/>
    <x v="2"/>
  </r>
  <r>
    <s v="CL100386"/>
    <x v="4"/>
    <s v="Tier 2"/>
    <x v="2"/>
    <n v="250739"/>
    <x v="319"/>
    <n v="36"/>
    <n v="151246"/>
    <n v="599"/>
    <x v="0"/>
    <n v="2.1"/>
    <n v="19.2"/>
    <x v="0"/>
    <x v="349"/>
    <x v="1"/>
  </r>
  <r>
    <s v="CL100387"/>
    <x v="4"/>
    <s v="Tier 1"/>
    <x v="1"/>
    <n v="483356"/>
    <x v="330"/>
    <n v="300"/>
    <n v="112817"/>
    <n v="795"/>
    <x v="1"/>
    <n v="11.2"/>
    <n v="13.1"/>
    <x v="1"/>
    <x v="350"/>
    <x v="3"/>
  </r>
  <r>
    <s v="CL100388"/>
    <x v="2"/>
    <s v="Tier 1"/>
    <x v="1"/>
    <n v="284067"/>
    <x v="331"/>
    <n v="12"/>
    <n v="97806"/>
    <n v="714"/>
    <x v="0"/>
    <n v="18.899999999999999"/>
    <n v="33.6"/>
    <x v="0"/>
    <x v="351"/>
    <x v="2"/>
  </r>
  <r>
    <s v="CL100389"/>
    <x v="2"/>
    <s v="Tier 2"/>
    <x v="2"/>
    <n v="314735"/>
    <x v="89"/>
    <n v="36"/>
    <n v="70814"/>
    <n v="708"/>
    <x v="0"/>
    <n v="19.899999999999999"/>
    <n v="11"/>
    <x v="0"/>
    <x v="248"/>
    <x v="2"/>
  </r>
  <r>
    <s v="CL100390"/>
    <x v="9"/>
    <s v="Tier 1"/>
    <x v="2"/>
    <n v="591549"/>
    <x v="246"/>
    <n v="24"/>
    <n v="98219"/>
    <n v="825"/>
    <x v="0"/>
    <n v="12.4"/>
    <n v="13.4"/>
    <x v="1"/>
    <x v="352"/>
    <x v="3"/>
  </r>
  <r>
    <s v="CL100391"/>
    <x v="0"/>
    <s v="Tier 2"/>
    <x v="0"/>
    <n v="321480"/>
    <x v="332"/>
    <n v="36"/>
    <n v="208718"/>
    <n v="768"/>
    <x v="0"/>
    <n v="22.4"/>
    <n v="33.799999999999997"/>
    <x v="1"/>
    <x v="195"/>
    <x v="3"/>
  </r>
  <r>
    <s v="CL100392"/>
    <x v="0"/>
    <s v="Tier 1"/>
    <x v="4"/>
    <n v="341227"/>
    <x v="333"/>
    <n v="60"/>
    <n v="198956"/>
    <n v="623"/>
    <x v="3"/>
    <n v="6.7"/>
    <n v="21.6"/>
    <x v="1"/>
    <x v="18"/>
    <x v="1"/>
  </r>
  <r>
    <s v="CL100393"/>
    <x v="2"/>
    <s v="Tier 2"/>
    <x v="0"/>
    <n v="590236"/>
    <x v="334"/>
    <n v="36"/>
    <n v="123345"/>
    <n v="665"/>
    <x v="0"/>
    <n v="10.3"/>
    <n v="36.299999999999997"/>
    <x v="0"/>
    <x v="353"/>
    <x v="0"/>
  </r>
  <r>
    <s v="CL100394"/>
    <x v="4"/>
    <s v="Tier 1"/>
    <x v="2"/>
    <n v="245891"/>
    <x v="35"/>
    <n v="24"/>
    <n v="128088"/>
    <n v="623"/>
    <x v="0"/>
    <n v="22.5"/>
    <n v="30.3"/>
    <x v="1"/>
    <x v="354"/>
    <x v="1"/>
  </r>
  <r>
    <s v="CL100395"/>
    <x v="6"/>
    <s v="Tier 3"/>
    <x v="4"/>
    <n v="169074"/>
    <x v="335"/>
    <n v="300"/>
    <n v="97322"/>
    <n v="724"/>
    <x v="1"/>
    <n v="22.4"/>
    <n v="18.2"/>
    <x v="0"/>
    <x v="355"/>
    <x v="2"/>
  </r>
  <r>
    <s v="CL100396"/>
    <x v="5"/>
    <s v="Tier 3"/>
    <x v="5"/>
    <n v="478314"/>
    <x v="258"/>
    <n v="120"/>
    <n v="49650"/>
    <n v="630"/>
    <x v="0"/>
    <n v="17.100000000000001"/>
    <n v="34"/>
    <x v="3"/>
    <x v="356"/>
    <x v="1"/>
  </r>
  <r>
    <s v="CL100397"/>
    <x v="0"/>
    <s v="Tier 3"/>
    <x v="0"/>
    <n v="514452"/>
    <x v="336"/>
    <n v="12"/>
    <n v="122242"/>
    <n v="821"/>
    <x v="0"/>
    <n v="21.5"/>
    <n v="12.7"/>
    <x v="0"/>
    <x v="357"/>
    <x v="3"/>
  </r>
  <r>
    <s v="CL100398"/>
    <x v="2"/>
    <s v="Tier 2"/>
    <x v="0"/>
    <n v="293816"/>
    <x v="337"/>
    <n v="48"/>
    <n v="168262"/>
    <n v="630"/>
    <x v="0"/>
    <n v="2.2000000000000002"/>
    <n v="29.5"/>
    <x v="2"/>
    <x v="253"/>
    <x v="1"/>
  </r>
  <r>
    <s v="CL100399"/>
    <x v="2"/>
    <s v="Tier 1"/>
    <x v="0"/>
    <n v="146365"/>
    <x v="338"/>
    <n v="36"/>
    <n v="66196"/>
    <n v="845"/>
    <x v="3"/>
    <n v="21.6"/>
    <n v="25.5"/>
    <x v="2"/>
    <x v="2"/>
    <x v="3"/>
  </r>
  <r>
    <s v="CL100400"/>
    <x v="4"/>
    <s v="Tier 2"/>
    <x v="0"/>
    <n v="454076"/>
    <x v="339"/>
    <n v="240"/>
    <n v="198521"/>
    <n v="699"/>
    <x v="3"/>
    <n v="8"/>
    <n v="18.7"/>
    <x v="1"/>
    <x v="358"/>
    <x v="0"/>
  </r>
  <r>
    <s v="CL100401"/>
    <x v="7"/>
    <s v="Tier 1"/>
    <x v="0"/>
    <n v="67507"/>
    <x v="340"/>
    <n v="240"/>
    <n v="198733"/>
    <n v="779"/>
    <x v="3"/>
    <n v="4.5"/>
    <n v="32.200000000000003"/>
    <x v="0"/>
    <x v="359"/>
    <x v="3"/>
  </r>
  <r>
    <s v="CL100402"/>
    <x v="0"/>
    <s v="Tier 1"/>
    <x v="6"/>
    <n v="62134"/>
    <x v="341"/>
    <n v="300"/>
    <n v="57709"/>
    <n v="827"/>
    <x v="0"/>
    <n v="6"/>
    <n v="42.9"/>
    <x v="1"/>
    <x v="243"/>
    <x v="3"/>
  </r>
  <r>
    <s v="CL100403"/>
    <x v="2"/>
    <s v="Tier 1"/>
    <x v="0"/>
    <n v="138172"/>
    <x v="342"/>
    <n v="24"/>
    <n v="108428"/>
    <n v="649"/>
    <x v="1"/>
    <n v="10.4"/>
    <n v="48"/>
    <x v="3"/>
    <x v="41"/>
    <x v="1"/>
  </r>
  <r>
    <s v="CL100404"/>
    <x v="4"/>
    <s v="Tier 1"/>
    <x v="0"/>
    <n v="246225"/>
    <x v="343"/>
    <n v="48"/>
    <n v="37943"/>
    <n v="636"/>
    <x v="0"/>
    <n v="6.3"/>
    <n v="32.299999999999997"/>
    <x v="1"/>
    <x v="360"/>
    <x v="1"/>
  </r>
  <r>
    <s v="CL100405"/>
    <x v="7"/>
    <s v="Tier 2"/>
    <x v="2"/>
    <n v="198069"/>
    <x v="344"/>
    <n v="48"/>
    <n v="202312"/>
    <n v="618"/>
    <x v="0"/>
    <n v="8"/>
    <n v="24.2"/>
    <x v="2"/>
    <x v="361"/>
    <x v="1"/>
  </r>
  <r>
    <s v="CL100406"/>
    <x v="0"/>
    <s v="Tier 2"/>
    <x v="1"/>
    <n v="565897"/>
    <x v="82"/>
    <n v="60"/>
    <n v="204832"/>
    <n v="597"/>
    <x v="0"/>
    <n v="3.4"/>
    <n v="17"/>
    <x v="0"/>
    <x v="362"/>
    <x v="1"/>
  </r>
  <r>
    <s v="CL100407"/>
    <x v="4"/>
    <s v="Tier 1"/>
    <x v="2"/>
    <n v="179037"/>
    <x v="303"/>
    <n v="48"/>
    <n v="49042"/>
    <n v="799"/>
    <x v="0"/>
    <n v="7.4"/>
    <n v="18.3"/>
    <x v="0"/>
    <x v="363"/>
    <x v="3"/>
  </r>
  <r>
    <s v="CL100408"/>
    <x v="7"/>
    <s v="Tier 1"/>
    <x v="0"/>
    <n v="668376"/>
    <x v="345"/>
    <n v="240"/>
    <n v="71894"/>
    <n v="823"/>
    <x v="0"/>
    <n v="14.3"/>
    <n v="27.2"/>
    <x v="1"/>
    <x v="116"/>
    <x v="3"/>
  </r>
  <r>
    <s v="CL100409"/>
    <x v="4"/>
    <s v="Tier 3"/>
    <x v="1"/>
    <n v="437995"/>
    <x v="346"/>
    <n v="120"/>
    <n v="165941"/>
    <n v="653"/>
    <x v="0"/>
    <n v="11"/>
    <n v="22.7"/>
    <x v="1"/>
    <x v="364"/>
    <x v="0"/>
  </r>
  <r>
    <s v="CL100410"/>
    <x v="4"/>
    <s v="Tier 1"/>
    <x v="0"/>
    <n v="501013"/>
    <x v="347"/>
    <n v="24"/>
    <n v="84759"/>
    <n v="689"/>
    <x v="0"/>
    <n v="8.6999999999999993"/>
    <n v="44.6"/>
    <x v="0"/>
    <x v="365"/>
    <x v="0"/>
  </r>
  <r>
    <s v="CL100411"/>
    <x v="1"/>
    <s v="Tier 1"/>
    <x v="0"/>
    <n v="299025"/>
    <x v="331"/>
    <n v="24"/>
    <n v="133973"/>
    <n v="759"/>
    <x v="0"/>
    <n v="18.7"/>
    <n v="22.7"/>
    <x v="1"/>
    <x v="366"/>
    <x v="3"/>
  </r>
  <r>
    <s v="CL100412"/>
    <x v="1"/>
    <s v="Tier 1"/>
    <x v="6"/>
    <n v="742954"/>
    <x v="348"/>
    <n v="36"/>
    <n v="72306"/>
    <n v="611"/>
    <x v="1"/>
    <n v="22.3"/>
    <n v="22.9"/>
    <x v="3"/>
    <x v="367"/>
    <x v="1"/>
  </r>
  <r>
    <s v="CL100413"/>
    <x v="0"/>
    <s v="Tier 2"/>
    <x v="0"/>
    <n v="505098"/>
    <x v="349"/>
    <n v="36"/>
    <n v="136369"/>
    <n v="813"/>
    <x v="0"/>
    <n v="18.899999999999999"/>
    <n v="23.3"/>
    <x v="1"/>
    <x v="368"/>
    <x v="3"/>
  </r>
  <r>
    <s v="CL100414"/>
    <x v="3"/>
    <s v="Tier 2"/>
    <x v="1"/>
    <n v="712173"/>
    <x v="165"/>
    <n v="36"/>
    <n v="214443"/>
    <n v="604"/>
    <x v="1"/>
    <n v="8.3000000000000007"/>
    <n v="41.5"/>
    <x v="0"/>
    <x v="369"/>
    <x v="1"/>
  </r>
  <r>
    <s v="CL100415"/>
    <x v="0"/>
    <s v="Tier 1"/>
    <x v="1"/>
    <n v="262803"/>
    <x v="55"/>
    <n v="240"/>
    <n v="179990"/>
    <n v="805"/>
    <x v="0"/>
    <n v="18.600000000000001"/>
    <n v="34"/>
    <x v="1"/>
    <x v="370"/>
    <x v="3"/>
  </r>
  <r>
    <s v="CL100416"/>
    <x v="4"/>
    <s v="Tier 1"/>
    <x v="0"/>
    <n v="696381"/>
    <x v="350"/>
    <n v="240"/>
    <n v="56379"/>
    <n v="636"/>
    <x v="1"/>
    <n v="3.8"/>
    <n v="32.6"/>
    <x v="0"/>
    <x v="371"/>
    <x v="1"/>
  </r>
  <r>
    <s v="CL100417"/>
    <x v="4"/>
    <s v="Tier 2"/>
    <x v="6"/>
    <n v="321275"/>
    <x v="351"/>
    <n v="300"/>
    <n v="148667"/>
    <n v="759"/>
    <x v="0"/>
    <n v="3.3"/>
    <n v="21.4"/>
    <x v="0"/>
    <x v="372"/>
    <x v="3"/>
  </r>
  <r>
    <s v="CL100418"/>
    <x v="3"/>
    <s v="Tier 2"/>
    <x v="0"/>
    <n v="684447"/>
    <x v="352"/>
    <n v="240"/>
    <n v="162034"/>
    <n v="811"/>
    <x v="0"/>
    <n v="8.6"/>
    <n v="40.700000000000003"/>
    <x v="1"/>
    <x v="373"/>
    <x v="3"/>
  </r>
  <r>
    <s v="CL100419"/>
    <x v="2"/>
    <s v="Tier 1"/>
    <x v="4"/>
    <n v="17828"/>
    <x v="353"/>
    <n v="240"/>
    <n v="172923"/>
    <n v="643"/>
    <x v="0"/>
    <n v="20.2"/>
    <n v="9.5"/>
    <x v="1"/>
    <x v="374"/>
    <x v="1"/>
  </r>
  <r>
    <s v="CL100420"/>
    <x v="2"/>
    <s v="Tier 3"/>
    <x v="5"/>
    <n v="521835"/>
    <x v="354"/>
    <n v="240"/>
    <n v="145626"/>
    <n v="811"/>
    <x v="1"/>
    <n v="6.2"/>
    <n v="42.8"/>
    <x v="1"/>
    <x v="214"/>
    <x v="3"/>
  </r>
  <r>
    <s v="CL100421"/>
    <x v="2"/>
    <s v="Tier 1"/>
    <x v="4"/>
    <n v="661761"/>
    <x v="355"/>
    <n v="240"/>
    <n v="204819"/>
    <n v="792"/>
    <x v="1"/>
    <n v="1.6"/>
    <n v="28.5"/>
    <x v="0"/>
    <x v="375"/>
    <x v="3"/>
  </r>
  <r>
    <s v="CL100422"/>
    <x v="4"/>
    <s v="Tier 1"/>
    <x v="6"/>
    <n v="228461"/>
    <x v="356"/>
    <n v="120"/>
    <n v="153180"/>
    <n v="837"/>
    <x v="0"/>
    <n v="3.3"/>
    <n v="23.9"/>
    <x v="0"/>
    <x v="376"/>
    <x v="3"/>
  </r>
  <r>
    <s v="CL100423"/>
    <x v="0"/>
    <s v="Tier 3"/>
    <x v="0"/>
    <n v="443080"/>
    <x v="357"/>
    <n v="240"/>
    <n v="80349"/>
    <n v="597"/>
    <x v="0"/>
    <n v="21.5"/>
    <n v="27.9"/>
    <x v="0"/>
    <x v="377"/>
    <x v="1"/>
  </r>
  <r>
    <s v="CL100424"/>
    <x v="4"/>
    <s v="Tier 1"/>
    <x v="1"/>
    <n v="418523"/>
    <x v="358"/>
    <n v="300"/>
    <n v="215428"/>
    <n v="754"/>
    <x v="3"/>
    <n v="15.8"/>
    <n v="34.700000000000003"/>
    <x v="1"/>
    <x v="378"/>
    <x v="3"/>
  </r>
  <r>
    <s v="CL100425"/>
    <x v="0"/>
    <s v="Tier 2"/>
    <x v="0"/>
    <n v="369662"/>
    <x v="359"/>
    <n v="48"/>
    <n v="173817"/>
    <n v="808"/>
    <x v="1"/>
    <n v="6.3"/>
    <n v="8.5"/>
    <x v="1"/>
    <x v="379"/>
    <x v="3"/>
  </r>
  <r>
    <s v="CL100426"/>
    <x v="0"/>
    <s v="Tier 1"/>
    <x v="2"/>
    <n v="286755"/>
    <x v="360"/>
    <n v="48"/>
    <n v="33730"/>
    <n v="805"/>
    <x v="0"/>
    <n v="13.9"/>
    <n v="42.9"/>
    <x v="1"/>
    <x v="380"/>
    <x v="3"/>
  </r>
  <r>
    <s v="CL100427"/>
    <x v="5"/>
    <s v="Tier 1"/>
    <x v="5"/>
    <n v="704151"/>
    <x v="361"/>
    <n v="60"/>
    <n v="172993"/>
    <n v="663"/>
    <x v="0"/>
    <n v="13.2"/>
    <n v="25.9"/>
    <x v="1"/>
    <x v="371"/>
    <x v="0"/>
  </r>
  <r>
    <s v="CL100428"/>
    <x v="4"/>
    <s v="Tier 3"/>
    <x v="0"/>
    <n v="343384"/>
    <x v="362"/>
    <n v="120"/>
    <n v="47023"/>
    <n v="825"/>
    <x v="0"/>
    <n v="16.399999999999999"/>
    <n v="21.7"/>
    <x v="1"/>
    <x v="381"/>
    <x v="3"/>
  </r>
  <r>
    <s v="CL100429"/>
    <x v="4"/>
    <s v="Tier 1"/>
    <x v="4"/>
    <n v="244719"/>
    <x v="363"/>
    <n v="36"/>
    <n v="204421"/>
    <n v="689"/>
    <x v="1"/>
    <n v="5.8"/>
    <n v="13.5"/>
    <x v="2"/>
    <x v="382"/>
    <x v="0"/>
  </r>
  <r>
    <s v="CL100430"/>
    <x v="4"/>
    <s v="Tier 3"/>
    <x v="0"/>
    <n v="737763"/>
    <x v="364"/>
    <n v="12"/>
    <n v="154796"/>
    <n v="833"/>
    <x v="0"/>
    <n v="21.6"/>
    <n v="25.6"/>
    <x v="3"/>
    <x v="383"/>
    <x v="3"/>
  </r>
  <r>
    <s v="CL100431"/>
    <x v="2"/>
    <s v="Tier 1"/>
    <x v="4"/>
    <n v="271010"/>
    <x v="365"/>
    <n v="240"/>
    <n v="109533"/>
    <n v="667"/>
    <x v="2"/>
    <n v="7.7"/>
    <n v="27.9"/>
    <x v="1"/>
    <x v="248"/>
    <x v="0"/>
  </r>
  <r>
    <s v="CL100432"/>
    <x v="3"/>
    <s v="Tier 1"/>
    <x v="1"/>
    <n v="692605"/>
    <x v="144"/>
    <n v="60"/>
    <n v="111286"/>
    <n v="651"/>
    <x v="0"/>
    <n v="17.399999999999999"/>
    <n v="24.1"/>
    <x v="0"/>
    <x v="349"/>
    <x v="0"/>
  </r>
  <r>
    <s v="CL100433"/>
    <x v="4"/>
    <s v="Tier 1"/>
    <x v="5"/>
    <n v="442940"/>
    <x v="366"/>
    <n v="12"/>
    <n v="69979"/>
    <n v="609"/>
    <x v="0"/>
    <n v="0.4"/>
    <n v="35.1"/>
    <x v="3"/>
    <x v="2"/>
    <x v="1"/>
  </r>
  <r>
    <s v="CL100434"/>
    <x v="4"/>
    <s v="Tier 2"/>
    <x v="4"/>
    <n v="600642"/>
    <x v="72"/>
    <n v="300"/>
    <n v="50837"/>
    <n v="751"/>
    <x v="0"/>
    <n v="9.3000000000000007"/>
    <n v="24.8"/>
    <x v="1"/>
    <x v="384"/>
    <x v="3"/>
  </r>
  <r>
    <s v="CL100435"/>
    <x v="3"/>
    <s v="Tier 1"/>
    <x v="0"/>
    <n v="56374"/>
    <x v="367"/>
    <n v="48"/>
    <n v="174069"/>
    <n v="756"/>
    <x v="3"/>
    <n v="8.8000000000000007"/>
    <n v="46.5"/>
    <x v="1"/>
    <x v="385"/>
    <x v="3"/>
  </r>
  <r>
    <s v="CL100436"/>
    <x v="4"/>
    <s v="Tier 3"/>
    <x v="0"/>
    <n v="119397"/>
    <x v="368"/>
    <n v="60"/>
    <n v="132975"/>
    <n v="718"/>
    <x v="1"/>
    <n v="13.6"/>
    <n v="32"/>
    <x v="1"/>
    <x v="386"/>
    <x v="2"/>
  </r>
  <r>
    <s v="CL100437"/>
    <x v="2"/>
    <s v="Tier 1"/>
    <x v="0"/>
    <n v="253552"/>
    <x v="209"/>
    <n v="300"/>
    <n v="204111"/>
    <n v="773"/>
    <x v="0"/>
    <n v="1.8"/>
    <n v="40.299999999999997"/>
    <x v="1"/>
    <x v="110"/>
    <x v="3"/>
  </r>
  <r>
    <s v="CL100438"/>
    <x v="3"/>
    <s v="Tier 3"/>
    <x v="0"/>
    <n v="391721"/>
    <x v="369"/>
    <n v="60"/>
    <n v="48923"/>
    <n v="765"/>
    <x v="1"/>
    <n v="19.8"/>
    <n v="12.4"/>
    <x v="2"/>
    <x v="387"/>
    <x v="3"/>
  </r>
  <r>
    <s v="CL100439"/>
    <x v="4"/>
    <s v="Tier 1"/>
    <x v="0"/>
    <n v="428332"/>
    <x v="370"/>
    <n v="24"/>
    <n v="36876"/>
    <n v="797"/>
    <x v="0"/>
    <n v="5.4"/>
    <n v="23.9"/>
    <x v="0"/>
    <x v="388"/>
    <x v="3"/>
  </r>
  <r>
    <s v="CL100440"/>
    <x v="4"/>
    <s v="Tier 3"/>
    <x v="3"/>
    <n v="297575"/>
    <x v="218"/>
    <n v="300"/>
    <n v="88973"/>
    <n v="743"/>
    <x v="0"/>
    <n v="16.899999999999999"/>
    <n v="21.5"/>
    <x v="1"/>
    <x v="286"/>
    <x v="2"/>
  </r>
  <r>
    <s v="CL100441"/>
    <x v="8"/>
    <s v="Tier 2"/>
    <x v="4"/>
    <n v="416124"/>
    <x v="293"/>
    <n v="48"/>
    <n v="161959"/>
    <n v="740"/>
    <x v="0"/>
    <n v="20.100000000000001"/>
    <n v="30.8"/>
    <x v="1"/>
    <x v="137"/>
    <x v="2"/>
  </r>
  <r>
    <s v="CL100442"/>
    <x v="0"/>
    <s v="Tier 2"/>
    <x v="1"/>
    <n v="34336"/>
    <x v="138"/>
    <n v="48"/>
    <n v="70422"/>
    <n v="592"/>
    <x v="0"/>
    <n v="14"/>
    <n v="42.4"/>
    <x v="0"/>
    <x v="389"/>
    <x v="1"/>
  </r>
  <r>
    <s v="CL100443"/>
    <x v="0"/>
    <s v="Tier 3"/>
    <x v="0"/>
    <n v="60350"/>
    <x v="371"/>
    <n v="120"/>
    <n v="79413"/>
    <n v="668"/>
    <x v="0"/>
    <n v="18.5"/>
    <n v="11.1"/>
    <x v="3"/>
    <x v="390"/>
    <x v="0"/>
  </r>
  <r>
    <s v="CL100444"/>
    <x v="2"/>
    <s v="Tier 2"/>
    <x v="3"/>
    <n v="598849"/>
    <x v="372"/>
    <n v="60"/>
    <n v="130484"/>
    <n v="621"/>
    <x v="3"/>
    <n v="16.5"/>
    <n v="10.9"/>
    <x v="0"/>
    <x v="391"/>
    <x v="1"/>
  </r>
  <r>
    <s v="CL100445"/>
    <x v="6"/>
    <s v="Tier 2"/>
    <x v="2"/>
    <n v="515470"/>
    <x v="373"/>
    <n v="240"/>
    <n v="161913"/>
    <n v="789"/>
    <x v="0"/>
    <n v="8.9"/>
    <n v="42"/>
    <x v="0"/>
    <x v="392"/>
    <x v="3"/>
  </r>
  <r>
    <s v="CL100446"/>
    <x v="8"/>
    <s v="Tier 1"/>
    <x v="0"/>
    <n v="66240"/>
    <x v="179"/>
    <n v="48"/>
    <n v="56756"/>
    <n v="808"/>
    <x v="3"/>
    <n v="20.2"/>
    <n v="16.5"/>
    <x v="1"/>
    <x v="393"/>
    <x v="3"/>
  </r>
  <r>
    <s v="CL100447"/>
    <x v="2"/>
    <s v="Tier 1"/>
    <x v="2"/>
    <n v="680453"/>
    <x v="374"/>
    <n v="60"/>
    <n v="99576"/>
    <n v="830"/>
    <x v="0"/>
    <n v="7.4"/>
    <n v="34.799999999999997"/>
    <x v="3"/>
    <x v="394"/>
    <x v="3"/>
  </r>
  <r>
    <s v="CL100448"/>
    <x v="0"/>
    <s v="Tier 3"/>
    <x v="1"/>
    <n v="404371"/>
    <x v="53"/>
    <n v="120"/>
    <n v="146248"/>
    <n v="787"/>
    <x v="1"/>
    <n v="14.3"/>
    <n v="29.7"/>
    <x v="0"/>
    <x v="348"/>
    <x v="3"/>
  </r>
  <r>
    <s v="CL100449"/>
    <x v="4"/>
    <s v="Tier 2"/>
    <x v="0"/>
    <n v="575895"/>
    <x v="375"/>
    <n v="240"/>
    <n v="38304"/>
    <n v="719"/>
    <x v="0"/>
    <n v="18.600000000000001"/>
    <n v="41.3"/>
    <x v="1"/>
    <x v="260"/>
    <x v="2"/>
  </r>
  <r>
    <s v="CL100450"/>
    <x v="2"/>
    <s v="Tier 2"/>
    <x v="1"/>
    <n v="716028"/>
    <x v="376"/>
    <n v="300"/>
    <n v="58341"/>
    <n v="613"/>
    <x v="0"/>
    <n v="9.5"/>
    <n v="13"/>
    <x v="0"/>
    <x v="300"/>
    <x v="1"/>
  </r>
  <r>
    <s v="CL100451"/>
    <x v="0"/>
    <s v="Tier 1"/>
    <x v="1"/>
    <n v="186196"/>
    <x v="321"/>
    <n v="120"/>
    <n v="163830"/>
    <n v="597"/>
    <x v="0"/>
    <n v="7.6"/>
    <n v="13.2"/>
    <x v="1"/>
    <x v="395"/>
    <x v="1"/>
  </r>
  <r>
    <s v="CL100452"/>
    <x v="0"/>
    <s v="Tier 1"/>
    <x v="0"/>
    <n v="320014"/>
    <x v="377"/>
    <n v="24"/>
    <n v="176082"/>
    <n v="636"/>
    <x v="0"/>
    <n v="11.5"/>
    <n v="30.3"/>
    <x v="1"/>
    <x v="396"/>
    <x v="1"/>
  </r>
  <r>
    <s v="CL100453"/>
    <x v="7"/>
    <s v="Tier 1"/>
    <x v="6"/>
    <n v="454763"/>
    <x v="143"/>
    <n v="240"/>
    <n v="155039"/>
    <n v="691"/>
    <x v="1"/>
    <n v="20.399999999999999"/>
    <n v="45.9"/>
    <x v="1"/>
    <x v="397"/>
    <x v="0"/>
  </r>
  <r>
    <s v="CL100454"/>
    <x v="4"/>
    <s v="Tier 2"/>
    <x v="3"/>
    <n v="593398"/>
    <x v="186"/>
    <n v="60"/>
    <n v="219830"/>
    <n v="584"/>
    <x v="0"/>
    <n v="23.2"/>
    <n v="24.6"/>
    <x v="1"/>
    <x v="78"/>
    <x v="1"/>
  </r>
  <r>
    <s v="CL100455"/>
    <x v="0"/>
    <s v="Tier 1"/>
    <x v="4"/>
    <n v="189626"/>
    <x v="95"/>
    <n v="48"/>
    <n v="190730"/>
    <n v="761"/>
    <x v="1"/>
    <n v="13.6"/>
    <n v="21.1"/>
    <x v="1"/>
    <x v="371"/>
    <x v="3"/>
  </r>
  <r>
    <s v="CL100456"/>
    <x v="4"/>
    <s v="Tier 1"/>
    <x v="1"/>
    <n v="681296"/>
    <x v="378"/>
    <n v="48"/>
    <n v="208074"/>
    <n v="592"/>
    <x v="0"/>
    <n v="16.5"/>
    <n v="32.299999999999997"/>
    <x v="1"/>
    <x v="398"/>
    <x v="1"/>
  </r>
  <r>
    <s v="CL100457"/>
    <x v="0"/>
    <s v="Tier 1"/>
    <x v="1"/>
    <n v="384039"/>
    <x v="356"/>
    <n v="60"/>
    <n v="160447"/>
    <n v="838"/>
    <x v="0"/>
    <n v="22.6"/>
    <n v="45.2"/>
    <x v="1"/>
    <x v="17"/>
    <x v="3"/>
  </r>
  <r>
    <s v="CL100458"/>
    <x v="4"/>
    <s v="Tier 1"/>
    <x v="4"/>
    <n v="533714"/>
    <x v="379"/>
    <n v="60"/>
    <n v="127485"/>
    <n v="669"/>
    <x v="0"/>
    <n v="2.5"/>
    <n v="41.5"/>
    <x v="1"/>
    <x v="399"/>
    <x v="0"/>
  </r>
  <r>
    <s v="CL100459"/>
    <x v="4"/>
    <s v="Tier 2"/>
    <x v="1"/>
    <n v="749199"/>
    <x v="380"/>
    <n v="60"/>
    <n v="50092"/>
    <n v="683"/>
    <x v="3"/>
    <n v="5.8"/>
    <n v="47.8"/>
    <x v="1"/>
    <x v="400"/>
    <x v="0"/>
  </r>
  <r>
    <s v="CL100460"/>
    <x v="4"/>
    <s v="Tier 1"/>
    <x v="0"/>
    <n v="446048"/>
    <x v="381"/>
    <n v="36"/>
    <n v="159562"/>
    <n v="765"/>
    <x v="1"/>
    <n v="17.7"/>
    <n v="8.9"/>
    <x v="1"/>
    <x v="401"/>
    <x v="3"/>
  </r>
  <r>
    <s v="CL100461"/>
    <x v="3"/>
    <s v="Tier 2"/>
    <x v="1"/>
    <n v="557439"/>
    <x v="37"/>
    <n v="240"/>
    <n v="31729"/>
    <n v="829"/>
    <x v="0"/>
    <n v="20.6"/>
    <n v="12.5"/>
    <x v="0"/>
    <x v="402"/>
    <x v="3"/>
  </r>
  <r>
    <s v="CL100462"/>
    <x v="2"/>
    <s v="Tier 1"/>
    <x v="2"/>
    <n v="278452"/>
    <x v="382"/>
    <n v="48"/>
    <n v="165046"/>
    <n v="834"/>
    <x v="0"/>
    <n v="21.4"/>
    <n v="32.4"/>
    <x v="1"/>
    <x v="403"/>
    <x v="3"/>
  </r>
  <r>
    <s v="CL100463"/>
    <x v="0"/>
    <s v="Tier 1"/>
    <x v="1"/>
    <n v="245853"/>
    <x v="383"/>
    <n v="240"/>
    <n v="146222"/>
    <n v="655"/>
    <x v="0"/>
    <n v="10.4"/>
    <n v="40.799999999999997"/>
    <x v="1"/>
    <x v="404"/>
    <x v="0"/>
  </r>
  <r>
    <s v="CL100464"/>
    <x v="1"/>
    <s v="Tier 1"/>
    <x v="0"/>
    <n v="181743"/>
    <x v="384"/>
    <n v="120"/>
    <n v="113216"/>
    <n v="687"/>
    <x v="2"/>
    <n v="2.2000000000000002"/>
    <n v="19.399999999999999"/>
    <x v="3"/>
    <x v="405"/>
    <x v="0"/>
  </r>
  <r>
    <s v="CL100465"/>
    <x v="0"/>
    <s v="Tier 1"/>
    <x v="2"/>
    <n v="95306"/>
    <x v="385"/>
    <n v="48"/>
    <n v="111860"/>
    <n v="735"/>
    <x v="1"/>
    <n v="10.9"/>
    <n v="17.600000000000001"/>
    <x v="0"/>
    <x v="406"/>
    <x v="2"/>
  </r>
  <r>
    <s v="CL100466"/>
    <x v="4"/>
    <s v="Tier 1"/>
    <x v="0"/>
    <n v="531492"/>
    <x v="386"/>
    <n v="36"/>
    <n v="124870"/>
    <n v="661"/>
    <x v="0"/>
    <n v="5.8"/>
    <n v="39.5"/>
    <x v="3"/>
    <x v="184"/>
    <x v="0"/>
  </r>
  <r>
    <s v="CL100467"/>
    <x v="5"/>
    <s v="Tier 1"/>
    <x v="0"/>
    <n v="97769"/>
    <x v="172"/>
    <n v="60"/>
    <n v="49398"/>
    <n v="656"/>
    <x v="0"/>
    <n v="7.3"/>
    <n v="10.3"/>
    <x v="1"/>
    <x v="407"/>
    <x v="0"/>
  </r>
  <r>
    <s v="CL100468"/>
    <x v="4"/>
    <s v="Tier 2"/>
    <x v="0"/>
    <n v="92265"/>
    <x v="387"/>
    <n v="24"/>
    <n v="62650"/>
    <n v="837"/>
    <x v="0"/>
    <n v="19.3"/>
    <n v="22.8"/>
    <x v="1"/>
    <x v="408"/>
    <x v="3"/>
  </r>
  <r>
    <s v="CL100469"/>
    <x v="1"/>
    <s v="Tier 1"/>
    <x v="0"/>
    <n v="57428"/>
    <x v="288"/>
    <n v="60"/>
    <n v="180364"/>
    <n v="706"/>
    <x v="2"/>
    <n v="1.9"/>
    <n v="28.2"/>
    <x v="0"/>
    <x v="78"/>
    <x v="2"/>
  </r>
  <r>
    <s v="CL100470"/>
    <x v="4"/>
    <s v="Tier 2"/>
    <x v="2"/>
    <n v="563158"/>
    <x v="224"/>
    <n v="300"/>
    <n v="131889"/>
    <n v="667"/>
    <x v="0"/>
    <n v="20.7"/>
    <n v="30.4"/>
    <x v="1"/>
    <x v="409"/>
    <x v="0"/>
  </r>
  <r>
    <s v="CL100471"/>
    <x v="1"/>
    <s v="Tier 3"/>
    <x v="1"/>
    <n v="632835"/>
    <x v="388"/>
    <n v="60"/>
    <n v="31159"/>
    <n v="783"/>
    <x v="1"/>
    <n v="10.7"/>
    <n v="37.1"/>
    <x v="1"/>
    <x v="410"/>
    <x v="3"/>
  </r>
  <r>
    <s v="CL100472"/>
    <x v="4"/>
    <s v="Tier 2"/>
    <x v="0"/>
    <n v="54067"/>
    <x v="389"/>
    <n v="36"/>
    <n v="126162"/>
    <n v="595"/>
    <x v="0"/>
    <n v="14.9"/>
    <n v="22.2"/>
    <x v="1"/>
    <x v="306"/>
    <x v="1"/>
  </r>
  <r>
    <s v="CL100473"/>
    <x v="7"/>
    <s v="Tier 1"/>
    <x v="3"/>
    <n v="117217"/>
    <x v="390"/>
    <n v="240"/>
    <n v="130834"/>
    <n v="730"/>
    <x v="1"/>
    <n v="2.2000000000000002"/>
    <n v="32.5"/>
    <x v="3"/>
    <x v="411"/>
    <x v="2"/>
  </r>
  <r>
    <s v="CL100474"/>
    <x v="0"/>
    <s v="Tier 1"/>
    <x v="3"/>
    <n v="423184"/>
    <x v="391"/>
    <n v="48"/>
    <n v="176137"/>
    <n v="833"/>
    <x v="1"/>
    <n v="8.4"/>
    <n v="31.4"/>
    <x v="1"/>
    <x v="412"/>
    <x v="3"/>
  </r>
  <r>
    <s v="CL100475"/>
    <x v="9"/>
    <s v="Tier 1"/>
    <x v="3"/>
    <n v="628222"/>
    <x v="392"/>
    <n v="60"/>
    <n v="49638"/>
    <n v="767"/>
    <x v="1"/>
    <n v="2.2000000000000002"/>
    <n v="29.9"/>
    <x v="3"/>
    <x v="216"/>
    <x v="3"/>
  </r>
  <r>
    <s v="CL100476"/>
    <x v="4"/>
    <s v="Tier 1"/>
    <x v="0"/>
    <n v="147980"/>
    <x v="393"/>
    <n v="48"/>
    <n v="29073"/>
    <n v="611"/>
    <x v="0"/>
    <n v="24"/>
    <n v="33.6"/>
    <x v="3"/>
    <x v="413"/>
    <x v="1"/>
  </r>
  <r>
    <s v="CL100477"/>
    <x v="0"/>
    <s v="Tier 3"/>
    <x v="1"/>
    <n v="507367"/>
    <x v="394"/>
    <n v="12"/>
    <n v="205583"/>
    <n v="584"/>
    <x v="3"/>
    <n v="20.2"/>
    <n v="18.399999999999999"/>
    <x v="1"/>
    <x v="414"/>
    <x v="1"/>
  </r>
  <r>
    <s v="CL100478"/>
    <x v="1"/>
    <s v="Tier 1"/>
    <x v="5"/>
    <n v="341851"/>
    <x v="395"/>
    <n v="120"/>
    <n v="57320"/>
    <n v="748"/>
    <x v="0"/>
    <n v="11.5"/>
    <n v="11.4"/>
    <x v="0"/>
    <x v="415"/>
    <x v="2"/>
  </r>
  <r>
    <s v="CL100479"/>
    <x v="0"/>
    <s v="Tier 1"/>
    <x v="2"/>
    <n v="214329"/>
    <x v="173"/>
    <n v="240"/>
    <n v="62924"/>
    <n v="760"/>
    <x v="0"/>
    <n v="5.6"/>
    <n v="12.8"/>
    <x v="0"/>
    <x v="192"/>
    <x v="3"/>
  </r>
  <r>
    <s v="CL100480"/>
    <x v="3"/>
    <s v="Tier 2"/>
    <x v="0"/>
    <n v="262354"/>
    <x v="306"/>
    <n v="48"/>
    <n v="199806"/>
    <n v="757"/>
    <x v="0"/>
    <n v="23.3"/>
    <n v="17"/>
    <x v="3"/>
    <x v="416"/>
    <x v="3"/>
  </r>
  <r>
    <s v="CL100481"/>
    <x v="3"/>
    <s v="Tier 2"/>
    <x v="0"/>
    <n v="528406"/>
    <x v="396"/>
    <n v="24"/>
    <n v="96116"/>
    <n v="722"/>
    <x v="2"/>
    <n v="8.6"/>
    <n v="28"/>
    <x v="1"/>
    <x v="417"/>
    <x v="2"/>
  </r>
  <r>
    <s v="CL100482"/>
    <x v="0"/>
    <s v="Tier 2"/>
    <x v="1"/>
    <n v="66215"/>
    <x v="397"/>
    <n v="120"/>
    <n v="199097"/>
    <n v="827"/>
    <x v="0"/>
    <n v="4"/>
    <n v="41.6"/>
    <x v="0"/>
    <x v="418"/>
    <x v="3"/>
  </r>
  <r>
    <s v="CL100483"/>
    <x v="3"/>
    <s v="Tier 1"/>
    <x v="6"/>
    <n v="716195"/>
    <x v="398"/>
    <n v="300"/>
    <n v="30159"/>
    <n v="706"/>
    <x v="1"/>
    <n v="14.1"/>
    <n v="36.1"/>
    <x v="1"/>
    <x v="286"/>
    <x v="2"/>
  </r>
  <r>
    <s v="CL100484"/>
    <x v="0"/>
    <s v="Tier 1"/>
    <x v="1"/>
    <n v="316573"/>
    <x v="399"/>
    <n v="300"/>
    <n v="76940"/>
    <n v="842"/>
    <x v="1"/>
    <n v="23.6"/>
    <n v="39.6"/>
    <x v="2"/>
    <x v="419"/>
    <x v="3"/>
  </r>
  <r>
    <s v="CL100485"/>
    <x v="7"/>
    <s v="Tier 2"/>
    <x v="1"/>
    <n v="637336"/>
    <x v="400"/>
    <n v="24"/>
    <n v="107436"/>
    <n v="619"/>
    <x v="0"/>
    <n v="0.1"/>
    <n v="22"/>
    <x v="1"/>
    <x v="420"/>
    <x v="1"/>
  </r>
  <r>
    <s v="CL100486"/>
    <x v="4"/>
    <s v="Tier 1"/>
    <x v="0"/>
    <n v="174530"/>
    <x v="401"/>
    <n v="60"/>
    <n v="42678"/>
    <n v="834"/>
    <x v="0"/>
    <n v="6"/>
    <n v="24.2"/>
    <x v="1"/>
    <x v="421"/>
    <x v="3"/>
  </r>
  <r>
    <s v="CL100487"/>
    <x v="4"/>
    <s v="Tier 1"/>
    <x v="4"/>
    <n v="182241"/>
    <x v="402"/>
    <n v="120"/>
    <n v="206276"/>
    <n v="722"/>
    <x v="0"/>
    <n v="23.5"/>
    <n v="23.7"/>
    <x v="0"/>
    <x v="422"/>
    <x v="2"/>
  </r>
  <r>
    <s v="CL100488"/>
    <x v="1"/>
    <s v="Tier 1"/>
    <x v="3"/>
    <n v="143731"/>
    <x v="403"/>
    <n v="48"/>
    <n v="171093"/>
    <n v="819"/>
    <x v="0"/>
    <n v="4.3"/>
    <n v="15.7"/>
    <x v="3"/>
    <x v="423"/>
    <x v="3"/>
  </r>
  <r>
    <s v="CL100489"/>
    <x v="7"/>
    <s v="Tier 1"/>
    <x v="1"/>
    <n v="458830"/>
    <x v="404"/>
    <n v="120"/>
    <n v="165844"/>
    <n v="807"/>
    <x v="0"/>
    <n v="2.8"/>
    <n v="10.4"/>
    <x v="0"/>
    <x v="424"/>
    <x v="3"/>
  </r>
  <r>
    <s v="CL100490"/>
    <x v="0"/>
    <s v="Tier 1"/>
    <x v="2"/>
    <n v="344384"/>
    <x v="249"/>
    <n v="60"/>
    <n v="95163"/>
    <n v="777"/>
    <x v="0"/>
    <n v="14.3"/>
    <n v="31.6"/>
    <x v="1"/>
    <x v="425"/>
    <x v="3"/>
  </r>
  <r>
    <s v="CL100491"/>
    <x v="3"/>
    <s v="Tier 1"/>
    <x v="5"/>
    <n v="431009"/>
    <x v="405"/>
    <n v="36"/>
    <n v="182536"/>
    <n v="644"/>
    <x v="3"/>
    <n v="21.5"/>
    <n v="47.6"/>
    <x v="1"/>
    <x v="361"/>
    <x v="1"/>
  </r>
  <r>
    <s v="CL100492"/>
    <x v="4"/>
    <s v="Tier 2"/>
    <x v="0"/>
    <n v="118688"/>
    <x v="406"/>
    <n v="240"/>
    <n v="79137"/>
    <n v="590"/>
    <x v="2"/>
    <n v="11.9"/>
    <n v="14.7"/>
    <x v="2"/>
    <x v="426"/>
    <x v="1"/>
  </r>
  <r>
    <s v="CL100493"/>
    <x v="4"/>
    <s v="Tier 2"/>
    <x v="1"/>
    <n v="313617"/>
    <x v="96"/>
    <n v="24"/>
    <n v="189304"/>
    <n v="687"/>
    <x v="0"/>
    <n v="24.9"/>
    <n v="9.9"/>
    <x v="0"/>
    <x v="125"/>
    <x v="0"/>
  </r>
  <r>
    <s v="CL100494"/>
    <x v="0"/>
    <s v="Tier 3"/>
    <x v="0"/>
    <n v="749748"/>
    <x v="407"/>
    <n v="60"/>
    <n v="89497"/>
    <n v="605"/>
    <x v="0"/>
    <n v="17"/>
    <n v="39.200000000000003"/>
    <x v="3"/>
    <x v="427"/>
    <x v="1"/>
  </r>
  <r>
    <s v="CL100495"/>
    <x v="4"/>
    <s v="Tier 1"/>
    <x v="2"/>
    <n v="495834"/>
    <x v="325"/>
    <n v="36"/>
    <n v="128485"/>
    <n v="730"/>
    <x v="0"/>
    <n v="1.9"/>
    <n v="18.100000000000001"/>
    <x v="1"/>
    <x v="428"/>
    <x v="2"/>
  </r>
  <r>
    <s v="CL100496"/>
    <x v="0"/>
    <s v="Tier 1"/>
    <x v="4"/>
    <n v="385596"/>
    <x v="338"/>
    <n v="120"/>
    <n v="210520"/>
    <n v="800"/>
    <x v="1"/>
    <n v="24.8"/>
    <n v="41.2"/>
    <x v="1"/>
    <x v="429"/>
    <x v="3"/>
  </r>
  <r>
    <s v="CL100497"/>
    <x v="4"/>
    <s v="Tier 1"/>
    <x v="4"/>
    <n v="716111"/>
    <x v="94"/>
    <n v="120"/>
    <n v="133468"/>
    <n v="816"/>
    <x v="1"/>
    <n v="10.199999999999999"/>
    <n v="36.200000000000003"/>
    <x v="0"/>
    <x v="430"/>
    <x v="3"/>
  </r>
  <r>
    <s v="CL100498"/>
    <x v="1"/>
    <s v="Tier 2"/>
    <x v="2"/>
    <n v="739275"/>
    <x v="24"/>
    <n v="60"/>
    <n v="28901"/>
    <n v="816"/>
    <x v="0"/>
    <n v="7.2"/>
    <n v="45.8"/>
    <x v="3"/>
    <x v="364"/>
    <x v="3"/>
  </r>
  <r>
    <s v="CL100499"/>
    <x v="8"/>
    <s v="Tier 2"/>
    <x v="1"/>
    <n v="274150"/>
    <x v="16"/>
    <n v="48"/>
    <n v="115980"/>
    <n v="798"/>
    <x v="0"/>
    <n v="13.9"/>
    <n v="24.4"/>
    <x v="1"/>
    <x v="431"/>
    <x v="3"/>
  </r>
  <r>
    <s v="CL100500"/>
    <x v="3"/>
    <s v="Tier 1"/>
    <x v="6"/>
    <n v="254243"/>
    <x v="399"/>
    <n v="120"/>
    <n v="135594"/>
    <n v="730"/>
    <x v="1"/>
    <n v="7.6"/>
    <n v="34.5"/>
    <x v="3"/>
    <x v="432"/>
    <x v="2"/>
  </r>
  <r>
    <s v="CL100501"/>
    <x v="0"/>
    <s v="Tier 3"/>
    <x v="1"/>
    <n v="603506"/>
    <x v="408"/>
    <n v="48"/>
    <n v="30881"/>
    <n v="702"/>
    <x v="0"/>
    <n v="2.2000000000000002"/>
    <n v="26.6"/>
    <x v="0"/>
    <x v="433"/>
    <x v="2"/>
  </r>
  <r>
    <s v="CL100502"/>
    <x v="4"/>
    <s v="Tier 1"/>
    <x v="0"/>
    <n v="201416"/>
    <x v="379"/>
    <n v="48"/>
    <n v="57863"/>
    <n v="723"/>
    <x v="0"/>
    <n v="0"/>
    <n v="33.200000000000003"/>
    <x v="1"/>
    <x v="127"/>
    <x v="2"/>
  </r>
  <r>
    <s v="CL100503"/>
    <x v="2"/>
    <s v="Tier 2"/>
    <x v="4"/>
    <n v="561718"/>
    <x v="315"/>
    <n v="240"/>
    <n v="164694"/>
    <n v="768"/>
    <x v="1"/>
    <n v="11.2"/>
    <n v="26"/>
    <x v="1"/>
    <x v="434"/>
    <x v="3"/>
  </r>
  <r>
    <s v="CL100504"/>
    <x v="3"/>
    <s v="Tier 2"/>
    <x v="2"/>
    <n v="28091"/>
    <x v="230"/>
    <n v="48"/>
    <n v="160450"/>
    <n v="834"/>
    <x v="0"/>
    <n v="20.9"/>
    <n v="15.5"/>
    <x v="1"/>
    <x v="294"/>
    <x v="3"/>
  </r>
  <r>
    <s v="CL100505"/>
    <x v="4"/>
    <s v="Tier 3"/>
    <x v="0"/>
    <n v="553277"/>
    <x v="409"/>
    <n v="12"/>
    <n v="73201"/>
    <n v="647"/>
    <x v="0"/>
    <n v="14.3"/>
    <n v="28.3"/>
    <x v="0"/>
    <x v="435"/>
    <x v="1"/>
  </r>
  <r>
    <s v="CL100506"/>
    <x v="7"/>
    <s v="Tier 2"/>
    <x v="3"/>
    <n v="80451"/>
    <x v="103"/>
    <n v="240"/>
    <n v="87251"/>
    <n v="683"/>
    <x v="1"/>
    <n v="25"/>
    <n v="29.1"/>
    <x v="1"/>
    <x v="436"/>
    <x v="0"/>
  </r>
  <r>
    <s v="CL100507"/>
    <x v="2"/>
    <s v="Tier 3"/>
    <x v="6"/>
    <n v="23990"/>
    <x v="410"/>
    <n v="36"/>
    <n v="100572"/>
    <n v="738"/>
    <x v="1"/>
    <n v="7.2"/>
    <n v="40.4"/>
    <x v="1"/>
    <x v="437"/>
    <x v="2"/>
  </r>
  <r>
    <s v="CL100508"/>
    <x v="6"/>
    <s v="Tier 1"/>
    <x v="0"/>
    <n v="357414"/>
    <x v="151"/>
    <n v="36"/>
    <n v="67255"/>
    <n v="669"/>
    <x v="0"/>
    <n v="7"/>
    <n v="37.4"/>
    <x v="3"/>
    <x v="438"/>
    <x v="0"/>
  </r>
  <r>
    <s v="CL100509"/>
    <x v="3"/>
    <s v="Tier 3"/>
    <x v="5"/>
    <n v="255541"/>
    <x v="310"/>
    <n v="120"/>
    <n v="91212"/>
    <n v="835"/>
    <x v="3"/>
    <n v="4"/>
    <n v="34.6"/>
    <x v="1"/>
    <x v="378"/>
    <x v="3"/>
  </r>
  <r>
    <s v="CL100510"/>
    <x v="3"/>
    <s v="Tier 1"/>
    <x v="0"/>
    <n v="671393"/>
    <x v="411"/>
    <n v="120"/>
    <n v="78210"/>
    <n v="799"/>
    <x v="0"/>
    <n v="4.0999999999999996"/>
    <n v="12.5"/>
    <x v="1"/>
    <x v="439"/>
    <x v="3"/>
  </r>
  <r>
    <s v="CL100511"/>
    <x v="0"/>
    <s v="Tier 3"/>
    <x v="0"/>
    <n v="375416"/>
    <x v="412"/>
    <n v="48"/>
    <n v="153629"/>
    <n v="588"/>
    <x v="1"/>
    <n v="7.1"/>
    <n v="36.799999999999997"/>
    <x v="1"/>
    <x v="440"/>
    <x v="1"/>
  </r>
  <r>
    <s v="CL100512"/>
    <x v="6"/>
    <s v="Tier 2"/>
    <x v="0"/>
    <n v="129932"/>
    <x v="413"/>
    <n v="240"/>
    <n v="50499"/>
    <n v="591"/>
    <x v="0"/>
    <n v="19.8"/>
    <n v="28"/>
    <x v="1"/>
    <x v="441"/>
    <x v="1"/>
  </r>
  <r>
    <s v="CL100513"/>
    <x v="5"/>
    <s v="Tier 3"/>
    <x v="6"/>
    <n v="273083"/>
    <x v="414"/>
    <n v="240"/>
    <n v="130552"/>
    <n v="823"/>
    <x v="3"/>
    <n v="22.6"/>
    <n v="43.8"/>
    <x v="0"/>
    <x v="442"/>
    <x v="3"/>
  </r>
  <r>
    <s v="CL100514"/>
    <x v="4"/>
    <s v="Tier 1"/>
    <x v="4"/>
    <n v="118000"/>
    <x v="415"/>
    <n v="12"/>
    <n v="210700"/>
    <n v="761"/>
    <x v="3"/>
    <n v="24.4"/>
    <n v="44.8"/>
    <x v="1"/>
    <x v="443"/>
    <x v="3"/>
  </r>
  <r>
    <s v="CL100515"/>
    <x v="4"/>
    <s v="Tier 2"/>
    <x v="0"/>
    <n v="707922"/>
    <x v="416"/>
    <n v="48"/>
    <n v="89360"/>
    <n v="678"/>
    <x v="0"/>
    <n v="5.8"/>
    <n v="10.199999999999999"/>
    <x v="0"/>
    <x v="444"/>
    <x v="0"/>
  </r>
  <r>
    <s v="CL100516"/>
    <x v="0"/>
    <s v="Tier 2"/>
    <x v="1"/>
    <n v="564351"/>
    <x v="417"/>
    <n v="12"/>
    <n v="163675"/>
    <n v="776"/>
    <x v="3"/>
    <n v="22"/>
    <n v="40.799999999999997"/>
    <x v="0"/>
    <x v="445"/>
    <x v="3"/>
  </r>
  <r>
    <s v="CL100517"/>
    <x v="2"/>
    <s v="Tier 2"/>
    <x v="4"/>
    <n v="498216"/>
    <x v="418"/>
    <n v="300"/>
    <n v="155466"/>
    <n v="805"/>
    <x v="1"/>
    <n v="8.1999999999999993"/>
    <n v="9.5"/>
    <x v="1"/>
    <x v="446"/>
    <x v="3"/>
  </r>
  <r>
    <s v="CL100518"/>
    <x v="8"/>
    <s v="Tier 1"/>
    <x v="0"/>
    <n v="737081"/>
    <x v="118"/>
    <n v="48"/>
    <n v="113473"/>
    <n v="682"/>
    <x v="1"/>
    <n v="2.8"/>
    <n v="22.7"/>
    <x v="1"/>
    <x v="447"/>
    <x v="0"/>
  </r>
  <r>
    <s v="CL100519"/>
    <x v="4"/>
    <s v="Tier 1"/>
    <x v="3"/>
    <n v="687405"/>
    <x v="397"/>
    <n v="24"/>
    <n v="171704"/>
    <n v="685"/>
    <x v="0"/>
    <n v="21.8"/>
    <n v="29.7"/>
    <x v="1"/>
    <x v="448"/>
    <x v="0"/>
  </r>
  <r>
    <s v="CL100520"/>
    <x v="3"/>
    <s v="Tier 1"/>
    <x v="2"/>
    <n v="514850"/>
    <x v="210"/>
    <n v="24"/>
    <n v="189679"/>
    <n v="637"/>
    <x v="1"/>
    <n v="15.9"/>
    <n v="13.9"/>
    <x v="1"/>
    <x v="18"/>
    <x v="1"/>
  </r>
  <r>
    <s v="CL100521"/>
    <x v="0"/>
    <s v="Tier 1"/>
    <x v="1"/>
    <n v="442985"/>
    <x v="43"/>
    <n v="60"/>
    <n v="119873"/>
    <n v="657"/>
    <x v="3"/>
    <n v="4.0999999999999996"/>
    <n v="37.9"/>
    <x v="0"/>
    <x v="449"/>
    <x v="0"/>
  </r>
  <r>
    <s v="CL100522"/>
    <x v="1"/>
    <s v="Tier 3"/>
    <x v="5"/>
    <n v="89703"/>
    <x v="419"/>
    <n v="48"/>
    <n v="93756"/>
    <n v="654"/>
    <x v="0"/>
    <n v="10.7"/>
    <n v="8.3000000000000007"/>
    <x v="0"/>
    <x v="450"/>
    <x v="0"/>
  </r>
  <r>
    <s v="CL100523"/>
    <x v="2"/>
    <s v="Tier 1"/>
    <x v="1"/>
    <n v="500164"/>
    <x v="79"/>
    <n v="240"/>
    <n v="206066"/>
    <n v="621"/>
    <x v="3"/>
    <n v="7.2"/>
    <n v="14.7"/>
    <x v="1"/>
    <x v="451"/>
    <x v="1"/>
  </r>
  <r>
    <s v="CL100524"/>
    <x v="2"/>
    <s v="Tier 3"/>
    <x v="5"/>
    <n v="419841"/>
    <x v="420"/>
    <n v="120"/>
    <n v="84344"/>
    <n v="760"/>
    <x v="0"/>
    <n v="18.399999999999999"/>
    <n v="31.2"/>
    <x v="1"/>
    <x v="452"/>
    <x v="3"/>
  </r>
  <r>
    <s v="CL100525"/>
    <x v="0"/>
    <s v="Tier 1"/>
    <x v="4"/>
    <n v="657845"/>
    <x v="149"/>
    <n v="36"/>
    <n v="212847"/>
    <n v="612"/>
    <x v="0"/>
    <n v="11.3"/>
    <n v="36.6"/>
    <x v="1"/>
    <x v="453"/>
    <x v="1"/>
  </r>
  <r>
    <s v="CL100526"/>
    <x v="0"/>
    <s v="Tier 1"/>
    <x v="4"/>
    <n v="294220"/>
    <x v="421"/>
    <n v="60"/>
    <n v="166421"/>
    <n v="650"/>
    <x v="0"/>
    <n v="24.7"/>
    <n v="44.7"/>
    <x v="0"/>
    <x v="454"/>
    <x v="0"/>
  </r>
  <r>
    <s v="CL100527"/>
    <x v="4"/>
    <s v="Tier 2"/>
    <x v="0"/>
    <n v="258317"/>
    <x v="112"/>
    <n v="120"/>
    <n v="99154"/>
    <n v="635"/>
    <x v="0"/>
    <n v="1.4"/>
    <n v="36.200000000000003"/>
    <x v="1"/>
    <x v="455"/>
    <x v="1"/>
  </r>
  <r>
    <s v="CL100528"/>
    <x v="4"/>
    <s v="Tier 2"/>
    <x v="3"/>
    <n v="200877"/>
    <x v="334"/>
    <n v="24"/>
    <n v="55464"/>
    <n v="684"/>
    <x v="1"/>
    <n v="8.9"/>
    <n v="34.9"/>
    <x v="1"/>
    <x v="314"/>
    <x v="0"/>
  </r>
  <r>
    <s v="CL100529"/>
    <x v="5"/>
    <s v="Tier 1"/>
    <x v="1"/>
    <n v="351709"/>
    <x v="393"/>
    <n v="48"/>
    <n v="201696"/>
    <n v="779"/>
    <x v="0"/>
    <n v="12"/>
    <n v="23.8"/>
    <x v="1"/>
    <x v="456"/>
    <x v="3"/>
  </r>
  <r>
    <s v="CL100530"/>
    <x v="2"/>
    <s v="Tier 2"/>
    <x v="0"/>
    <n v="486725"/>
    <x v="23"/>
    <n v="60"/>
    <n v="149897"/>
    <n v="680"/>
    <x v="2"/>
    <n v="12.6"/>
    <n v="8.1"/>
    <x v="0"/>
    <x v="383"/>
    <x v="0"/>
  </r>
  <r>
    <s v="CL100531"/>
    <x v="9"/>
    <s v="Tier 2"/>
    <x v="0"/>
    <n v="572597"/>
    <x v="422"/>
    <n v="48"/>
    <n v="65344"/>
    <n v="835"/>
    <x v="0"/>
    <n v="7.9"/>
    <n v="12.8"/>
    <x v="3"/>
    <x v="457"/>
    <x v="3"/>
  </r>
  <r>
    <s v="CL100532"/>
    <x v="9"/>
    <s v="Tier 1"/>
    <x v="1"/>
    <n v="442470"/>
    <x v="423"/>
    <n v="24"/>
    <n v="111791"/>
    <n v="653"/>
    <x v="0"/>
    <n v="18.2"/>
    <n v="29.4"/>
    <x v="1"/>
    <x v="458"/>
    <x v="0"/>
  </r>
  <r>
    <s v="CL100533"/>
    <x v="0"/>
    <s v="Tier 3"/>
    <x v="1"/>
    <n v="363402"/>
    <x v="424"/>
    <n v="60"/>
    <n v="183371"/>
    <n v="750"/>
    <x v="0"/>
    <n v="21.9"/>
    <n v="35"/>
    <x v="1"/>
    <x v="459"/>
    <x v="3"/>
  </r>
  <r>
    <s v="CL100534"/>
    <x v="2"/>
    <s v="Tier 3"/>
    <x v="2"/>
    <n v="572815"/>
    <x v="425"/>
    <n v="24"/>
    <n v="207047"/>
    <n v="722"/>
    <x v="0"/>
    <n v="23.5"/>
    <n v="24.7"/>
    <x v="2"/>
    <x v="460"/>
    <x v="2"/>
  </r>
  <r>
    <s v="CL100535"/>
    <x v="6"/>
    <s v="Tier 2"/>
    <x v="6"/>
    <n v="144883"/>
    <x v="310"/>
    <n v="12"/>
    <n v="160534"/>
    <n v="745"/>
    <x v="3"/>
    <n v="20.100000000000001"/>
    <n v="37.200000000000003"/>
    <x v="1"/>
    <x v="461"/>
    <x v="2"/>
  </r>
  <r>
    <s v="CL100536"/>
    <x v="2"/>
    <s v="Tier 1"/>
    <x v="0"/>
    <n v="622632"/>
    <x v="293"/>
    <n v="24"/>
    <n v="148209"/>
    <n v="840"/>
    <x v="1"/>
    <n v="21.3"/>
    <n v="28.9"/>
    <x v="0"/>
    <x v="22"/>
    <x v="3"/>
  </r>
  <r>
    <s v="CL100537"/>
    <x v="4"/>
    <s v="Tier 2"/>
    <x v="2"/>
    <n v="160344"/>
    <x v="426"/>
    <n v="240"/>
    <n v="109441"/>
    <n v="800"/>
    <x v="1"/>
    <n v="13.8"/>
    <n v="11"/>
    <x v="1"/>
    <x v="462"/>
    <x v="3"/>
  </r>
  <r>
    <s v="CL100538"/>
    <x v="0"/>
    <s v="Tier 1"/>
    <x v="0"/>
    <n v="470226"/>
    <x v="427"/>
    <n v="240"/>
    <n v="118456"/>
    <n v="662"/>
    <x v="0"/>
    <n v="20.6"/>
    <n v="15.7"/>
    <x v="0"/>
    <x v="463"/>
    <x v="0"/>
  </r>
  <r>
    <s v="CL100539"/>
    <x v="4"/>
    <s v="Tier 1"/>
    <x v="3"/>
    <n v="576441"/>
    <x v="428"/>
    <n v="48"/>
    <n v="109788"/>
    <n v="761"/>
    <x v="0"/>
    <n v="7.6"/>
    <n v="41.6"/>
    <x v="1"/>
    <x v="263"/>
    <x v="3"/>
  </r>
  <r>
    <s v="CL100540"/>
    <x v="1"/>
    <s v="Tier 1"/>
    <x v="2"/>
    <n v="113042"/>
    <x v="429"/>
    <n v="36"/>
    <n v="199653"/>
    <n v="589"/>
    <x v="0"/>
    <n v="10"/>
    <n v="37"/>
    <x v="2"/>
    <x v="464"/>
    <x v="1"/>
  </r>
  <r>
    <s v="CL100541"/>
    <x v="3"/>
    <s v="Tier 1"/>
    <x v="1"/>
    <n v="59110"/>
    <x v="300"/>
    <n v="24"/>
    <n v="42175"/>
    <n v="583"/>
    <x v="0"/>
    <n v="7.9"/>
    <n v="43.8"/>
    <x v="0"/>
    <x v="465"/>
    <x v="1"/>
  </r>
  <r>
    <s v="CL100542"/>
    <x v="4"/>
    <s v="Tier 3"/>
    <x v="2"/>
    <n v="150051"/>
    <x v="430"/>
    <n v="120"/>
    <n v="165263"/>
    <n v="794"/>
    <x v="0"/>
    <n v="11.7"/>
    <n v="12.7"/>
    <x v="0"/>
    <x v="466"/>
    <x v="3"/>
  </r>
  <r>
    <s v="CL100543"/>
    <x v="3"/>
    <s v="Tier 2"/>
    <x v="0"/>
    <n v="33328"/>
    <x v="147"/>
    <n v="240"/>
    <n v="111434"/>
    <n v="677"/>
    <x v="1"/>
    <n v="7.1"/>
    <n v="47.6"/>
    <x v="0"/>
    <x v="467"/>
    <x v="0"/>
  </r>
  <r>
    <s v="CL100544"/>
    <x v="3"/>
    <s v="Tier 2"/>
    <x v="1"/>
    <n v="642199"/>
    <x v="431"/>
    <n v="300"/>
    <n v="112518"/>
    <n v="680"/>
    <x v="0"/>
    <n v="24"/>
    <n v="16.399999999999999"/>
    <x v="0"/>
    <x v="468"/>
    <x v="0"/>
  </r>
  <r>
    <s v="CL100545"/>
    <x v="4"/>
    <s v="Tier 1"/>
    <x v="3"/>
    <n v="280011"/>
    <x v="72"/>
    <n v="36"/>
    <n v="94537"/>
    <n v="588"/>
    <x v="1"/>
    <n v="7.8"/>
    <n v="8.5"/>
    <x v="1"/>
    <x v="154"/>
    <x v="1"/>
  </r>
  <r>
    <s v="CL100546"/>
    <x v="4"/>
    <s v="Tier 1"/>
    <x v="1"/>
    <n v="64234"/>
    <x v="432"/>
    <n v="12"/>
    <n v="143721"/>
    <n v="640"/>
    <x v="0"/>
    <n v="2.5"/>
    <n v="47.9"/>
    <x v="3"/>
    <x v="469"/>
    <x v="1"/>
  </r>
  <r>
    <s v="CL100547"/>
    <x v="3"/>
    <s v="Tier 1"/>
    <x v="0"/>
    <n v="232135"/>
    <x v="17"/>
    <n v="60"/>
    <n v="75645"/>
    <n v="725"/>
    <x v="0"/>
    <n v="13.2"/>
    <n v="19.2"/>
    <x v="2"/>
    <x v="470"/>
    <x v="2"/>
  </r>
  <r>
    <s v="CL100548"/>
    <x v="0"/>
    <s v="Tier 3"/>
    <x v="1"/>
    <n v="602690"/>
    <x v="433"/>
    <n v="60"/>
    <n v="51283"/>
    <n v="642"/>
    <x v="1"/>
    <n v="1.4"/>
    <n v="34.700000000000003"/>
    <x v="1"/>
    <x v="15"/>
    <x v="1"/>
  </r>
  <r>
    <s v="CL100549"/>
    <x v="2"/>
    <s v="Tier 1"/>
    <x v="3"/>
    <n v="343365"/>
    <x v="434"/>
    <n v="240"/>
    <n v="114971"/>
    <n v="700"/>
    <x v="0"/>
    <n v="2.8"/>
    <n v="15.1"/>
    <x v="2"/>
    <x v="471"/>
    <x v="2"/>
  </r>
  <r>
    <s v="CL100550"/>
    <x v="0"/>
    <s v="Tier 3"/>
    <x v="0"/>
    <n v="534739"/>
    <x v="420"/>
    <n v="36"/>
    <n v="120759"/>
    <n v="805"/>
    <x v="3"/>
    <n v="5.5"/>
    <n v="31.2"/>
    <x v="0"/>
    <x v="14"/>
    <x v="3"/>
  </r>
  <r>
    <s v="CL100551"/>
    <x v="5"/>
    <s v="Tier 2"/>
    <x v="0"/>
    <n v="92178"/>
    <x v="435"/>
    <n v="240"/>
    <n v="218195"/>
    <n v="684"/>
    <x v="0"/>
    <n v="11.6"/>
    <n v="44.2"/>
    <x v="0"/>
    <x v="472"/>
    <x v="0"/>
  </r>
  <r>
    <s v="CL100552"/>
    <x v="0"/>
    <s v="Tier 1"/>
    <x v="2"/>
    <n v="241562"/>
    <x v="192"/>
    <n v="60"/>
    <n v="130780"/>
    <n v="839"/>
    <x v="0"/>
    <n v="10.8"/>
    <n v="20.8"/>
    <x v="1"/>
    <x v="250"/>
    <x v="3"/>
  </r>
  <r>
    <s v="CL100553"/>
    <x v="0"/>
    <s v="Tier 2"/>
    <x v="3"/>
    <n v="306014"/>
    <x v="436"/>
    <n v="300"/>
    <n v="189096"/>
    <n v="834"/>
    <x v="2"/>
    <n v="20"/>
    <n v="34.799999999999997"/>
    <x v="1"/>
    <x v="473"/>
    <x v="3"/>
  </r>
  <r>
    <s v="CL100554"/>
    <x v="5"/>
    <s v="Tier 1"/>
    <x v="0"/>
    <n v="363710"/>
    <x v="224"/>
    <n v="24"/>
    <n v="208702"/>
    <n v="786"/>
    <x v="0"/>
    <n v="18.5"/>
    <n v="15.5"/>
    <x v="1"/>
    <x v="474"/>
    <x v="3"/>
  </r>
  <r>
    <s v="CL100555"/>
    <x v="0"/>
    <s v="Tier 3"/>
    <x v="0"/>
    <n v="390893"/>
    <x v="437"/>
    <n v="36"/>
    <n v="58734"/>
    <n v="607"/>
    <x v="0"/>
    <n v="10.7"/>
    <n v="33"/>
    <x v="1"/>
    <x v="475"/>
    <x v="1"/>
  </r>
  <r>
    <s v="CL100556"/>
    <x v="4"/>
    <s v="Tier 3"/>
    <x v="0"/>
    <n v="128765"/>
    <x v="85"/>
    <n v="48"/>
    <n v="28515"/>
    <n v="749"/>
    <x v="1"/>
    <n v="8.3000000000000007"/>
    <n v="21.5"/>
    <x v="1"/>
    <x v="476"/>
    <x v="2"/>
  </r>
  <r>
    <s v="CL100557"/>
    <x v="4"/>
    <s v="Tier 1"/>
    <x v="0"/>
    <n v="392025"/>
    <x v="438"/>
    <n v="24"/>
    <n v="138782"/>
    <n v="655"/>
    <x v="0"/>
    <n v="7.9"/>
    <n v="16.399999999999999"/>
    <x v="1"/>
    <x v="477"/>
    <x v="0"/>
  </r>
  <r>
    <s v="CL100558"/>
    <x v="2"/>
    <s v="Tier 1"/>
    <x v="1"/>
    <n v="133389"/>
    <x v="404"/>
    <n v="24"/>
    <n v="94727"/>
    <n v="695"/>
    <x v="1"/>
    <n v="19.3"/>
    <n v="20.5"/>
    <x v="1"/>
    <x v="475"/>
    <x v="0"/>
  </r>
  <r>
    <s v="CL100559"/>
    <x v="3"/>
    <s v="Tier 2"/>
    <x v="2"/>
    <n v="718987"/>
    <x v="439"/>
    <n v="24"/>
    <n v="137164"/>
    <n v="648"/>
    <x v="1"/>
    <n v="1.3"/>
    <n v="15.2"/>
    <x v="2"/>
    <x v="478"/>
    <x v="1"/>
  </r>
  <r>
    <s v="CL100560"/>
    <x v="3"/>
    <s v="Tier 3"/>
    <x v="4"/>
    <n v="202227"/>
    <x v="429"/>
    <n v="48"/>
    <n v="74216"/>
    <n v="813"/>
    <x v="2"/>
    <n v="0.3"/>
    <n v="44.1"/>
    <x v="1"/>
    <x v="14"/>
    <x v="3"/>
  </r>
  <r>
    <s v="CL100561"/>
    <x v="4"/>
    <s v="Tier 1"/>
    <x v="4"/>
    <n v="497402"/>
    <x v="440"/>
    <n v="300"/>
    <n v="99833"/>
    <n v="580"/>
    <x v="0"/>
    <n v="19.899999999999999"/>
    <n v="23.9"/>
    <x v="1"/>
    <x v="479"/>
    <x v="1"/>
  </r>
  <r>
    <s v="CL100562"/>
    <x v="4"/>
    <s v="Tier 2"/>
    <x v="0"/>
    <n v="265220"/>
    <x v="87"/>
    <n v="12"/>
    <n v="86755"/>
    <n v="746"/>
    <x v="0"/>
    <n v="11.9"/>
    <n v="17.8"/>
    <x v="1"/>
    <x v="480"/>
    <x v="2"/>
  </r>
  <r>
    <s v="CL100563"/>
    <x v="4"/>
    <s v="Tier 2"/>
    <x v="3"/>
    <n v="426217"/>
    <x v="441"/>
    <n v="300"/>
    <n v="55856"/>
    <n v="797"/>
    <x v="1"/>
    <n v="3.3"/>
    <n v="25.9"/>
    <x v="1"/>
    <x v="78"/>
    <x v="3"/>
  </r>
  <r>
    <s v="CL100564"/>
    <x v="4"/>
    <s v="Tier 2"/>
    <x v="1"/>
    <n v="301208"/>
    <x v="442"/>
    <n v="300"/>
    <n v="101870"/>
    <n v="830"/>
    <x v="0"/>
    <n v="5.9"/>
    <n v="20.8"/>
    <x v="0"/>
    <x v="481"/>
    <x v="3"/>
  </r>
  <r>
    <s v="CL100565"/>
    <x v="0"/>
    <s v="Tier 1"/>
    <x v="5"/>
    <n v="73431"/>
    <x v="443"/>
    <n v="300"/>
    <n v="183234"/>
    <n v="753"/>
    <x v="0"/>
    <n v="23.3"/>
    <n v="37.799999999999997"/>
    <x v="0"/>
    <x v="165"/>
    <x v="3"/>
  </r>
  <r>
    <s v="CL100566"/>
    <x v="0"/>
    <s v="Tier 2"/>
    <x v="4"/>
    <n v="60745"/>
    <x v="209"/>
    <n v="120"/>
    <n v="165080"/>
    <n v="749"/>
    <x v="0"/>
    <n v="21.5"/>
    <n v="46.8"/>
    <x v="0"/>
    <x v="482"/>
    <x v="2"/>
  </r>
  <r>
    <s v="CL100567"/>
    <x v="0"/>
    <s v="Tier 3"/>
    <x v="0"/>
    <n v="55081"/>
    <x v="444"/>
    <n v="240"/>
    <n v="35987"/>
    <n v="825"/>
    <x v="0"/>
    <n v="17.7"/>
    <n v="25.5"/>
    <x v="1"/>
    <x v="424"/>
    <x v="3"/>
  </r>
  <r>
    <s v="CL100568"/>
    <x v="7"/>
    <s v="Tier 1"/>
    <x v="4"/>
    <n v="221204"/>
    <x v="445"/>
    <n v="60"/>
    <n v="124502"/>
    <n v="669"/>
    <x v="0"/>
    <n v="12.1"/>
    <n v="42.4"/>
    <x v="0"/>
    <x v="483"/>
    <x v="0"/>
  </r>
  <r>
    <s v="CL100569"/>
    <x v="4"/>
    <s v="Tier 1"/>
    <x v="0"/>
    <n v="406415"/>
    <x v="373"/>
    <n v="240"/>
    <n v="162404"/>
    <n v="628"/>
    <x v="3"/>
    <n v="13"/>
    <n v="30.6"/>
    <x v="1"/>
    <x v="484"/>
    <x v="1"/>
  </r>
  <r>
    <s v="CL100570"/>
    <x v="0"/>
    <s v="Tier 3"/>
    <x v="4"/>
    <n v="605541"/>
    <x v="446"/>
    <n v="36"/>
    <n v="94323"/>
    <n v="729"/>
    <x v="3"/>
    <n v="24.4"/>
    <n v="14.3"/>
    <x v="1"/>
    <x v="485"/>
    <x v="2"/>
  </r>
  <r>
    <s v="CL100571"/>
    <x v="2"/>
    <s v="Tier 1"/>
    <x v="0"/>
    <n v="303335"/>
    <x v="447"/>
    <n v="300"/>
    <n v="198062"/>
    <n v="711"/>
    <x v="0"/>
    <n v="24.1"/>
    <n v="35.6"/>
    <x v="1"/>
    <x v="194"/>
    <x v="2"/>
  </r>
  <r>
    <s v="CL100572"/>
    <x v="0"/>
    <s v="Tier 3"/>
    <x v="0"/>
    <n v="116086"/>
    <x v="42"/>
    <n v="12"/>
    <n v="37873"/>
    <n v="638"/>
    <x v="0"/>
    <n v="5.4"/>
    <n v="28.5"/>
    <x v="1"/>
    <x v="486"/>
    <x v="1"/>
  </r>
  <r>
    <s v="CL100573"/>
    <x v="3"/>
    <s v="Tier 1"/>
    <x v="3"/>
    <n v="461285"/>
    <x v="147"/>
    <n v="36"/>
    <n v="195516"/>
    <n v="778"/>
    <x v="0"/>
    <n v="20.3"/>
    <n v="34"/>
    <x v="1"/>
    <x v="278"/>
    <x v="3"/>
  </r>
  <r>
    <s v="CL100574"/>
    <x v="5"/>
    <s v="Tier 1"/>
    <x v="0"/>
    <n v="419758"/>
    <x v="436"/>
    <n v="240"/>
    <n v="194412"/>
    <n v="794"/>
    <x v="3"/>
    <n v="4.9000000000000004"/>
    <n v="43.6"/>
    <x v="1"/>
    <x v="32"/>
    <x v="3"/>
  </r>
  <r>
    <s v="CL100575"/>
    <x v="6"/>
    <s v="Tier 3"/>
    <x v="3"/>
    <n v="429528"/>
    <x v="448"/>
    <n v="60"/>
    <n v="133219"/>
    <n v="628"/>
    <x v="0"/>
    <n v="5.3"/>
    <n v="25.6"/>
    <x v="2"/>
    <x v="487"/>
    <x v="1"/>
  </r>
  <r>
    <s v="CL100576"/>
    <x v="4"/>
    <s v="Tier 1"/>
    <x v="0"/>
    <n v="443458"/>
    <x v="439"/>
    <n v="48"/>
    <n v="33033"/>
    <n v="811"/>
    <x v="1"/>
    <n v="16.899999999999999"/>
    <n v="44"/>
    <x v="1"/>
    <x v="488"/>
    <x v="3"/>
  </r>
  <r>
    <s v="CL100577"/>
    <x v="6"/>
    <s v="Tier 2"/>
    <x v="4"/>
    <n v="623071"/>
    <x v="449"/>
    <n v="240"/>
    <n v="101324"/>
    <n v="826"/>
    <x v="0"/>
    <n v="10.1"/>
    <n v="38"/>
    <x v="1"/>
    <x v="489"/>
    <x v="3"/>
  </r>
  <r>
    <s v="CL100578"/>
    <x v="0"/>
    <s v="Tier 1"/>
    <x v="4"/>
    <n v="654969"/>
    <x v="382"/>
    <n v="24"/>
    <n v="43689"/>
    <n v="818"/>
    <x v="1"/>
    <n v="23.3"/>
    <n v="27.5"/>
    <x v="1"/>
    <x v="74"/>
    <x v="3"/>
  </r>
  <r>
    <s v="CL100579"/>
    <x v="4"/>
    <s v="Tier 2"/>
    <x v="1"/>
    <n v="617181"/>
    <x v="109"/>
    <n v="240"/>
    <n v="137756"/>
    <n v="747"/>
    <x v="0"/>
    <n v="2.2000000000000002"/>
    <n v="32.1"/>
    <x v="0"/>
    <x v="476"/>
    <x v="2"/>
  </r>
  <r>
    <s v="CL100580"/>
    <x v="0"/>
    <s v="Tier 1"/>
    <x v="0"/>
    <n v="504797"/>
    <x v="450"/>
    <n v="24"/>
    <n v="28066"/>
    <n v="627"/>
    <x v="1"/>
    <n v="12.8"/>
    <n v="21"/>
    <x v="1"/>
    <x v="219"/>
    <x v="1"/>
  </r>
  <r>
    <s v="CL100581"/>
    <x v="8"/>
    <s v="Tier 1"/>
    <x v="0"/>
    <n v="163763"/>
    <x v="275"/>
    <n v="48"/>
    <n v="142159"/>
    <n v="630"/>
    <x v="0"/>
    <n v="23"/>
    <n v="47.3"/>
    <x v="3"/>
    <x v="304"/>
    <x v="1"/>
  </r>
  <r>
    <s v="CL100582"/>
    <x v="0"/>
    <s v="Tier 3"/>
    <x v="0"/>
    <n v="607248"/>
    <x v="451"/>
    <n v="240"/>
    <n v="204318"/>
    <n v="677"/>
    <x v="1"/>
    <n v="22.6"/>
    <n v="34.700000000000003"/>
    <x v="2"/>
    <x v="336"/>
    <x v="0"/>
  </r>
  <r>
    <s v="CL100583"/>
    <x v="4"/>
    <s v="Tier 1"/>
    <x v="0"/>
    <n v="27601"/>
    <x v="381"/>
    <n v="12"/>
    <n v="35533"/>
    <n v="795"/>
    <x v="0"/>
    <n v="3.9"/>
    <n v="9.8000000000000007"/>
    <x v="1"/>
    <x v="164"/>
    <x v="3"/>
  </r>
  <r>
    <s v="CL100584"/>
    <x v="3"/>
    <s v="Tier 2"/>
    <x v="4"/>
    <n v="416236"/>
    <x v="284"/>
    <n v="12"/>
    <n v="143828"/>
    <n v="756"/>
    <x v="1"/>
    <n v="9.1999999999999993"/>
    <n v="21.1"/>
    <x v="1"/>
    <x v="8"/>
    <x v="3"/>
  </r>
  <r>
    <s v="CL100585"/>
    <x v="4"/>
    <s v="Tier 1"/>
    <x v="6"/>
    <n v="144227"/>
    <x v="452"/>
    <n v="36"/>
    <n v="87658"/>
    <n v="659"/>
    <x v="3"/>
    <n v="15.5"/>
    <n v="32.9"/>
    <x v="1"/>
    <x v="357"/>
    <x v="0"/>
  </r>
  <r>
    <s v="CL100586"/>
    <x v="4"/>
    <s v="Tier 2"/>
    <x v="3"/>
    <n v="729479"/>
    <x v="384"/>
    <n v="48"/>
    <n v="66498"/>
    <n v="764"/>
    <x v="0"/>
    <n v="4"/>
    <n v="10.3"/>
    <x v="0"/>
    <x v="309"/>
    <x v="3"/>
  </r>
  <r>
    <s v="CL100587"/>
    <x v="4"/>
    <s v="Tier 1"/>
    <x v="2"/>
    <n v="697137"/>
    <x v="211"/>
    <n v="300"/>
    <n v="137028"/>
    <n v="606"/>
    <x v="3"/>
    <n v="24.2"/>
    <n v="9"/>
    <x v="1"/>
    <x v="54"/>
    <x v="1"/>
  </r>
  <r>
    <s v="CL100588"/>
    <x v="4"/>
    <s v="Tier 3"/>
    <x v="2"/>
    <n v="286854"/>
    <x v="453"/>
    <n v="12"/>
    <n v="39772"/>
    <n v="774"/>
    <x v="0"/>
    <n v="22.9"/>
    <n v="26"/>
    <x v="1"/>
    <x v="490"/>
    <x v="3"/>
  </r>
  <r>
    <s v="CL100589"/>
    <x v="4"/>
    <s v="Tier 1"/>
    <x v="4"/>
    <n v="375858"/>
    <x v="95"/>
    <n v="240"/>
    <n v="117385"/>
    <n v="793"/>
    <x v="0"/>
    <n v="4.2"/>
    <n v="21.3"/>
    <x v="1"/>
    <x v="491"/>
    <x v="3"/>
  </r>
  <r>
    <s v="CL100590"/>
    <x v="4"/>
    <s v="Tier 1"/>
    <x v="0"/>
    <n v="684892"/>
    <x v="454"/>
    <n v="48"/>
    <n v="208108"/>
    <n v="693"/>
    <x v="0"/>
    <n v="3"/>
    <n v="25.5"/>
    <x v="0"/>
    <x v="492"/>
    <x v="0"/>
  </r>
  <r>
    <s v="CL100591"/>
    <x v="3"/>
    <s v="Tier 1"/>
    <x v="6"/>
    <n v="658015"/>
    <x v="455"/>
    <n v="60"/>
    <n v="217603"/>
    <n v="821"/>
    <x v="0"/>
    <n v="2.1"/>
    <n v="18.5"/>
    <x v="1"/>
    <x v="493"/>
    <x v="3"/>
  </r>
  <r>
    <s v="CL100592"/>
    <x v="4"/>
    <s v="Tier 1"/>
    <x v="4"/>
    <n v="592515"/>
    <x v="450"/>
    <n v="24"/>
    <n v="40940"/>
    <n v="703"/>
    <x v="1"/>
    <n v="22.7"/>
    <n v="14.6"/>
    <x v="1"/>
    <x v="494"/>
    <x v="2"/>
  </r>
  <r>
    <s v="CL100593"/>
    <x v="4"/>
    <s v="Tier 2"/>
    <x v="4"/>
    <n v="665327"/>
    <x v="148"/>
    <n v="240"/>
    <n v="146027"/>
    <n v="655"/>
    <x v="1"/>
    <n v="4.8"/>
    <n v="35.6"/>
    <x v="0"/>
    <x v="157"/>
    <x v="0"/>
  </r>
  <r>
    <s v="CL100594"/>
    <x v="7"/>
    <s v="Tier 1"/>
    <x v="0"/>
    <n v="613577"/>
    <x v="456"/>
    <n v="24"/>
    <n v="44932"/>
    <n v="775"/>
    <x v="0"/>
    <n v="10.4"/>
    <n v="28.6"/>
    <x v="0"/>
    <x v="495"/>
    <x v="3"/>
  </r>
  <r>
    <s v="CL100595"/>
    <x v="0"/>
    <s v="Tier 3"/>
    <x v="1"/>
    <n v="156094"/>
    <x v="333"/>
    <n v="24"/>
    <n v="215899"/>
    <n v="623"/>
    <x v="0"/>
    <n v="11.2"/>
    <n v="16"/>
    <x v="3"/>
    <x v="496"/>
    <x v="1"/>
  </r>
  <r>
    <s v="CL100596"/>
    <x v="3"/>
    <s v="Tier 1"/>
    <x v="1"/>
    <n v="441679"/>
    <x v="58"/>
    <n v="300"/>
    <n v="52648"/>
    <n v="765"/>
    <x v="1"/>
    <n v="15"/>
    <n v="20.8"/>
    <x v="1"/>
    <x v="497"/>
    <x v="3"/>
  </r>
  <r>
    <s v="CL100597"/>
    <x v="4"/>
    <s v="Tier 1"/>
    <x v="3"/>
    <n v="735031"/>
    <x v="65"/>
    <n v="48"/>
    <n v="60966"/>
    <n v="825"/>
    <x v="3"/>
    <n v="1.8"/>
    <n v="31.7"/>
    <x v="0"/>
    <x v="492"/>
    <x v="3"/>
  </r>
  <r>
    <s v="CL100598"/>
    <x v="4"/>
    <s v="Tier 2"/>
    <x v="1"/>
    <n v="687773"/>
    <x v="457"/>
    <n v="48"/>
    <n v="186849"/>
    <n v="663"/>
    <x v="0"/>
    <n v="5.7"/>
    <n v="10.9"/>
    <x v="0"/>
    <x v="498"/>
    <x v="0"/>
  </r>
  <r>
    <s v="CL100599"/>
    <x v="4"/>
    <s v="Tier 2"/>
    <x v="1"/>
    <n v="507648"/>
    <x v="458"/>
    <n v="36"/>
    <n v="191639"/>
    <n v="786"/>
    <x v="3"/>
    <n v="23.3"/>
    <n v="13.9"/>
    <x v="1"/>
    <x v="499"/>
    <x v="3"/>
  </r>
  <r>
    <s v="CL100600"/>
    <x v="4"/>
    <s v="Tier 1"/>
    <x v="5"/>
    <n v="484083"/>
    <x v="459"/>
    <n v="24"/>
    <n v="176246"/>
    <n v="730"/>
    <x v="0"/>
    <n v="22.7"/>
    <n v="10.9"/>
    <x v="0"/>
    <x v="500"/>
    <x v="2"/>
  </r>
  <r>
    <s v="CL100601"/>
    <x v="4"/>
    <s v="Tier 1"/>
    <x v="0"/>
    <n v="350740"/>
    <x v="357"/>
    <n v="36"/>
    <n v="70598"/>
    <n v="735"/>
    <x v="0"/>
    <n v="19.5"/>
    <n v="40.5"/>
    <x v="1"/>
    <x v="501"/>
    <x v="2"/>
  </r>
  <r>
    <s v="CL100602"/>
    <x v="4"/>
    <s v="Tier 1"/>
    <x v="1"/>
    <n v="410513"/>
    <x v="460"/>
    <n v="300"/>
    <n v="218271"/>
    <n v="595"/>
    <x v="3"/>
    <n v="0.5"/>
    <n v="38.1"/>
    <x v="2"/>
    <x v="502"/>
    <x v="1"/>
  </r>
  <r>
    <s v="CL100603"/>
    <x v="4"/>
    <s v="Tier 2"/>
    <x v="0"/>
    <n v="73323"/>
    <x v="461"/>
    <n v="24"/>
    <n v="172870"/>
    <n v="744"/>
    <x v="0"/>
    <n v="8.1999999999999993"/>
    <n v="38.1"/>
    <x v="1"/>
    <x v="503"/>
    <x v="2"/>
  </r>
  <r>
    <s v="CL100604"/>
    <x v="4"/>
    <s v="Tier 2"/>
    <x v="2"/>
    <n v="290960"/>
    <x v="327"/>
    <n v="36"/>
    <n v="176630"/>
    <n v="724"/>
    <x v="0"/>
    <n v="15.7"/>
    <n v="36.700000000000003"/>
    <x v="0"/>
    <x v="286"/>
    <x v="2"/>
  </r>
  <r>
    <s v="CL100605"/>
    <x v="0"/>
    <s v="Tier 1"/>
    <x v="6"/>
    <n v="569983"/>
    <x v="163"/>
    <n v="36"/>
    <n v="89084"/>
    <n v="616"/>
    <x v="0"/>
    <n v="6.9"/>
    <n v="34.799999999999997"/>
    <x v="1"/>
    <x v="504"/>
    <x v="1"/>
  </r>
  <r>
    <s v="CL100606"/>
    <x v="4"/>
    <s v="Tier 3"/>
    <x v="0"/>
    <n v="417918"/>
    <x v="123"/>
    <n v="60"/>
    <n v="203309"/>
    <n v="624"/>
    <x v="3"/>
    <n v="22.7"/>
    <n v="27.1"/>
    <x v="2"/>
    <x v="505"/>
    <x v="1"/>
  </r>
  <r>
    <s v="CL100607"/>
    <x v="0"/>
    <s v="Tier 3"/>
    <x v="3"/>
    <n v="423458"/>
    <x v="462"/>
    <n v="36"/>
    <n v="159250"/>
    <n v="785"/>
    <x v="1"/>
    <n v="15.8"/>
    <n v="33.700000000000003"/>
    <x v="1"/>
    <x v="506"/>
    <x v="3"/>
  </r>
  <r>
    <s v="CL100608"/>
    <x v="0"/>
    <s v="Tier 2"/>
    <x v="0"/>
    <n v="60841"/>
    <x v="322"/>
    <n v="48"/>
    <n v="45118"/>
    <n v="641"/>
    <x v="0"/>
    <n v="1.8"/>
    <n v="9.5"/>
    <x v="2"/>
    <x v="507"/>
    <x v="1"/>
  </r>
  <r>
    <s v="CL100609"/>
    <x v="3"/>
    <s v="Tier 3"/>
    <x v="6"/>
    <n v="395642"/>
    <x v="463"/>
    <n v="36"/>
    <n v="50616"/>
    <n v="598"/>
    <x v="0"/>
    <n v="22.7"/>
    <n v="32.9"/>
    <x v="3"/>
    <x v="508"/>
    <x v="1"/>
  </r>
  <r>
    <s v="CL100610"/>
    <x v="4"/>
    <s v="Tier 1"/>
    <x v="2"/>
    <n v="203784"/>
    <x v="464"/>
    <n v="24"/>
    <n v="159870"/>
    <n v="586"/>
    <x v="0"/>
    <n v="23.9"/>
    <n v="39.1"/>
    <x v="1"/>
    <x v="509"/>
    <x v="1"/>
  </r>
  <r>
    <s v="CL100611"/>
    <x v="2"/>
    <s v="Tier 1"/>
    <x v="2"/>
    <n v="112096"/>
    <x v="465"/>
    <n v="36"/>
    <n v="35601"/>
    <n v="828"/>
    <x v="0"/>
    <n v="1.9"/>
    <n v="28"/>
    <x v="3"/>
    <x v="510"/>
    <x v="3"/>
  </r>
  <r>
    <s v="CL100612"/>
    <x v="3"/>
    <s v="Tier 1"/>
    <x v="0"/>
    <n v="97764"/>
    <x v="466"/>
    <n v="12"/>
    <n v="53363"/>
    <n v="696"/>
    <x v="0"/>
    <n v="13.3"/>
    <n v="22.3"/>
    <x v="2"/>
    <x v="511"/>
    <x v="0"/>
  </r>
  <r>
    <s v="CL100613"/>
    <x v="4"/>
    <s v="Tier 1"/>
    <x v="5"/>
    <n v="451790"/>
    <x v="467"/>
    <n v="120"/>
    <n v="30795"/>
    <n v="647"/>
    <x v="1"/>
    <n v="7.6"/>
    <n v="19.100000000000001"/>
    <x v="1"/>
    <x v="291"/>
    <x v="1"/>
  </r>
  <r>
    <s v="CL100614"/>
    <x v="5"/>
    <s v="Tier 2"/>
    <x v="2"/>
    <n v="615032"/>
    <x v="84"/>
    <n v="24"/>
    <n v="125462"/>
    <n v="613"/>
    <x v="0"/>
    <n v="9.8000000000000007"/>
    <n v="33.700000000000003"/>
    <x v="1"/>
    <x v="512"/>
    <x v="1"/>
  </r>
  <r>
    <s v="CL100615"/>
    <x v="6"/>
    <s v="Tier 3"/>
    <x v="0"/>
    <n v="538459"/>
    <x v="151"/>
    <n v="12"/>
    <n v="204336"/>
    <n v="773"/>
    <x v="0"/>
    <n v="4.5"/>
    <n v="35.700000000000003"/>
    <x v="0"/>
    <x v="73"/>
    <x v="3"/>
  </r>
  <r>
    <s v="CL100616"/>
    <x v="4"/>
    <s v="Tier 1"/>
    <x v="3"/>
    <n v="630043"/>
    <x v="468"/>
    <n v="300"/>
    <n v="130892"/>
    <n v="634"/>
    <x v="0"/>
    <n v="14.5"/>
    <n v="42.8"/>
    <x v="1"/>
    <x v="513"/>
    <x v="1"/>
  </r>
  <r>
    <s v="CL100617"/>
    <x v="4"/>
    <s v="Tier 1"/>
    <x v="0"/>
    <n v="497148"/>
    <x v="469"/>
    <n v="24"/>
    <n v="100833"/>
    <n v="845"/>
    <x v="0"/>
    <n v="23.9"/>
    <n v="21.7"/>
    <x v="1"/>
    <x v="514"/>
    <x v="3"/>
  </r>
  <r>
    <s v="CL100618"/>
    <x v="2"/>
    <s v="Tier 1"/>
    <x v="3"/>
    <n v="637413"/>
    <x v="470"/>
    <n v="48"/>
    <n v="31084"/>
    <n v="621"/>
    <x v="3"/>
    <n v="12.6"/>
    <n v="38.799999999999997"/>
    <x v="1"/>
    <x v="515"/>
    <x v="1"/>
  </r>
  <r>
    <s v="CL100619"/>
    <x v="2"/>
    <s v="Tier 3"/>
    <x v="0"/>
    <n v="373226"/>
    <x v="471"/>
    <n v="120"/>
    <n v="123865"/>
    <n v="810"/>
    <x v="0"/>
    <n v="2.1"/>
    <n v="30.5"/>
    <x v="1"/>
    <x v="516"/>
    <x v="3"/>
  </r>
  <r>
    <s v="CL100620"/>
    <x v="4"/>
    <s v="Tier 1"/>
    <x v="2"/>
    <n v="8696"/>
    <x v="169"/>
    <n v="120"/>
    <n v="28731"/>
    <n v="589"/>
    <x v="0"/>
    <n v="15.5"/>
    <n v="43.3"/>
    <x v="1"/>
    <x v="517"/>
    <x v="1"/>
  </r>
  <r>
    <s v="CL100621"/>
    <x v="4"/>
    <s v="Tier 2"/>
    <x v="1"/>
    <n v="131310"/>
    <x v="472"/>
    <n v="48"/>
    <n v="160201"/>
    <n v="707"/>
    <x v="0"/>
    <n v="8.5"/>
    <n v="29.1"/>
    <x v="1"/>
    <x v="518"/>
    <x v="2"/>
  </r>
  <r>
    <s v="CL100622"/>
    <x v="0"/>
    <s v="Tier 1"/>
    <x v="0"/>
    <n v="680673"/>
    <x v="473"/>
    <n v="120"/>
    <n v="187094"/>
    <n v="758"/>
    <x v="0"/>
    <n v="21.4"/>
    <n v="28.7"/>
    <x v="3"/>
    <x v="519"/>
    <x v="3"/>
  </r>
  <r>
    <s v="CL100623"/>
    <x v="0"/>
    <s v="Tier 1"/>
    <x v="0"/>
    <n v="50740"/>
    <x v="423"/>
    <n v="48"/>
    <n v="29605"/>
    <n v="772"/>
    <x v="0"/>
    <n v="10.9"/>
    <n v="31.1"/>
    <x v="0"/>
    <x v="520"/>
    <x v="3"/>
  </r>
  <r>
    <s v="CL100624"/>
    <x v="3"/>
    <s v="Tier 3"/>
    <x v="0"/>
    <n v="111611"/>
    <x v="91"/>
    <n v="12"/>
    <n v="105506"/>
    <n v="671"/>
    <x v="0"/>
    <n v="4.8"/>
    <n v="38"/>
    <x v="1"/>
    <x v="521"/>
    <x v="0"/>
  </r>
  <r>
    <s v="CL100625"/>
    <x v="0"/>
    <s v="Tier 3"/>
    <x v="1"/>
    <n v="403172"/>
    <x v="474"/>
    <n v="300"/>
    <n v="72130"/>
    <n v="810"/>
    <x v="0"/>
    <n v="4.8"/>
    <n v="46.6"/>
    <x v="0"/>
    <x v="400"/>
    <x v="3"/>
  </r>
  <r>
    <s v="CL100626"/>
    <x v="0"/>
    <s v="Tier 1"/>
    <x v="0"/>
    <n v="473947"/>
    <x v="475"/>
    <n v="60"/>
    <n v="188337"/>
    <n v="657"/>
    <x v="0"/>
    <n v="19.2"/>
    <n v="10.9"/>
    <x v="0"/>
    <x v="522"/>
    <x v="0"/>
  </r>
  <r>
    <s v="CL100627"/>
    <x v="2"/>
    <s v="Tier 3"/>
    <x v="4"/>
    <n v="480828"/>
    <x v="476"/>
    <n v="24"/>
    <n v="191402"/>
    <n v="664"/>
    <x v="0"/>
    <n v="6.6"/>
    <n v="10.1"/>
    <x v="2"/>
    <x v="497"/>
    <x v="0"/>
  </r>
  <r>
    <s v="CL100628"/>
    <x v="4"/>
    <s v="Tier 2"/>
    <x v="0"/>
    <n v="333785"/>
    <x v="465"/>
    <n v="48"/>
    <n v="96469"/>
    <n v="609"/>
    <x v="0"/>
    <n v="19.2"/>
    <n v="45.5"/>
    <x v="1"/>
    <x v="523"/>
    <x v="1"/>
  </r>
  <r>
    <s v="CL100629"/>
    <x v="4"/>
    <s v="Tier 3"/>
    <x v="0"/>
    <n v="593099"/>
    <x v="477"/>
    <n v="24"/>
    <n v="174259"/>
    <n v="792"/>
    <x v="2"/>
    <n v="5.0999999999999996"/>
    <n v="29.2"/>
    <x v="1"/>
    <x v="119"/>
    <x v="3"/>
  </r>
  <r>
    <s v="CL100630"/>
    <x v="3"/>
    <s v="Tier 1"/>
    <x v="2"/>
    <n v="450376"/>
    <x v="478"/>
    <n v="300"/>
    <n v="184863"/>
    <n v="628"/>
    <x v="0"/>
    <n v="8"/>
    <n v="32.6"/>
    <x v="2"/>
    <x v="524"/>
    <x v="1"/>
  </r>
  <r>
    <s v="CL100631"/>
    <x v="7"/>
    <s v="Tier 2"/>
    <x v="0"/>
    <n v="711673"/>
    <x v="26"/>
    <n v="12"/>
    <n v="118436"/>
    <n v="844"/>
    <x v="0"/>
    <n v="11.6"/>
    <n v="27.3"/>
    <x v="2"/>
    <x v="525"/>
    <x v="3"/>
  </r>
  <r>
    <s v="CL100632"/>
    <x v="0"/>
    <s v="Tier 1"/>
    <x v="6"/>
    <n v="592520"/>
    <x v="298"/>
    <n v="60"/>
    <n v="140341"/>
    <n v="724"/>
    <x v="0"/>
    <n v="23.6"/>
    <n v="11.7"/>
    <x v="0"/>
    <x v="526"/>
    <x v="2"/>
  </r>
  <r>
    <s v="CL100633"/>
    <x v="0"/>
    <s v="Tier 2"/>
    <x v="3"/>
    <n v="685089"/>
    <x v="303"/>
    <n v="300"/>
    <n v="198939"/>
    <n v="648"/>
    <x v="0"/>
    <n v="23.3"/>
    <n v="38.700000000000003"/>
    <x v="0"/>
    <x v="527"/>
    <x v="1"/>
  </r>
  <r>
    <s v="CL100634"/>
    <x v="4"/>
    <s v="Tier 1"/>
    <x v="4"/>
    <n v="117492"/>
    <x v="479"/>
    <n v="12"/>
    <n v="159965"/>
    <n v="637"/>
    <x v="1"/>
    <n v="5.2"/>
    <n v="37.9"/>
    <x v="1"/>
    <x v="528"/>
    <x v="1"/>
  </r>
  <r>
    <s v="CL100635"/>
    <x v="0"/>
    <s v="Tier 1"/>
    <x v="4"/>
    <n v="35099"/>
    <x v="480"/>
    <n v="120"/>
    <n v="127694"/>
    <n v="764"/>
    <x v="0"/>
    <n v="9"/>
    <n v="20.5"/>
    <x v="1"/>
    <x v="529"/>
    <x v="3"/>
  </r>
  <r>
    <s v="CL100636"/>
    <x v="0"/>
    <s v="Tier 1"/>
    <x v="6"/>
    <n v="428177"/>
    <x v="481"/>
    <n v="24"/>
    <n v="47773"/>
    <n v="641"/>
    <x v="1"/>
    <n v="3.7"/>
    <n v="20.2"/>
    <x v="1"/>
    <x v="530"/>
    <x v="1"/>
  </r>
  <r>
    <s v="CL100637"/>
    <x v="4"/>
    <s v="Tier 2"/>
    <x v="0"/>
    <n v="647762"/>
    <x v="442"/>
    <n v="240"/>
    <n v="32239"/>
    <n v="745"/>
    <x v="0"/>
    <n v="12.7"/>
    <n v="41.5"/>
    <x v="1"/>
    <x v="531"/>
    <x v="2"/>
  </r>
  <r>
    <s v="CL100638"/>
    <x v="4"/>
    <s v="Tier 1"/>
    <x v="0"/>
    <n v="276400"/>
    <x v="343"/>
    <n v="60"/>
    <n v="48863"/>
    <n v="750"/>
    <x v="0"/>
    <n v="11.5"/>
    <n v="10.9"/>
    <x v="3"/>
    <x v="532"/>
    <x v="3"/>
  </r>
  <r>
    <s v="CL100639"/>
    <x v="0"/>
    <s v="Tier 2"/>
    <x v="0"/>
    <n v="484336"/>
    <x v="278"/>
    <n v="120"/>
    <n v="79415"/>
    <n v="642"/>
    <x v="1"/>
    <n v="22.5"/>
    <n v="43.2"/>
    <x v="1"/>
    <x v="533"/>
    <x v="1"/>
  </r>
  <r>
    <s v="CL100640"/>
    <x v="4"/>
    <s v="Tier 3"/>
    <x v="2"/>
    <n v="563969"/>
    <x v="364"/>
    <n v="300"/>
    <n v="96968"/>
    <n v="726"/>
    <x v="0"/>
    <n v="23.3"/>
    <n v="18.3"/>
    <x v="1"/>
    <x v="534"/>
    <x v="2"/>
  </r>
  <r>
    <s v="CL100641"/>
    <x v="4"/>
    <s v="Tier 1"/>
    <x v="0"/>
    <n v="96328"/>
    <x v="54"/>
    <n v="60"/>
    <n v="88430"/>
    <n v="740"/>
    <x v="0"/>
    <n v="9.6"/>
    <n v="31.7"/>
    <x v="2"/>
    <x v="535"/>
    <x v="2"/>
  </r>
  <r>
    <s v="CL100642"/>
    <x v="4"/>
    <s v="Tier 2"/>
    <x v="4"/>
    <n v="747800"/>
    <x v="184"/>
    <n v="120"/>
    <n v="29515"/>
    <n v="720"/>
    <x v="0"/>
    <n v="12.3"/>
    <n v="45.4"/>
    <x v="1"/>
    <x v="497"/>
    <x v="2"/>
  </r>
  <r>
    <s v="CL100643"/>
    <x v="4"/>
    <s v="Tier 1"/>
    <x v="5"/>
    <n v="310505"/>
    <x v="13"/>
    <n v="12"/>
    <n v="125206"/>
    <n v="676"/>
    <x v="1"/>
    <n v="22.4"/>
    <n v="35.1"/>
    <x v="2"/>
    <x v="39"/>
    <x v="0"/>
  </r>
  <r>
    <s v="CL100644"/>
    <x v="4"/>
    <s v="Tier 3"/>
    <x v="3"/>
    <n v="462719"/>
    <x v="38"/>
    <n v="48"/>
    <n v="173677"/>
    <n v="800"/>
    <x v="0"/>
    <n v="20.2"/>
    <n v="24.6"/>
    <x v="2"/>
    <x v="252"/>
    <x v="3"/>
  </r>
  <r>
    <s v="CL100645"/>
    <x v="7"/>
    <s v="Tier 1"/>
    <x v="1"/>
    <n v="39540"/>
    <x v="482"/>
    <n v="24"/>
    <n v="84240"/>
    <n v="622"/>
    <x v="3"/>
    <n v="0.1"/>
    <n v="35.6"/>
    <x v="0"/>
    <x v="536"/>
    <x v="1"/>
  </r>
  <r>
    <s v="CL100646"/>
    <x v="3"/>
    <s v="Tier 2"/>
    <x v="0"/>
    <n v="162608"/>
    <x v="59"/>
    <n v="36"/>
    <n v="33586"/>
    <n v="687"/>
    <x v="0"/>
    <n v="8"/>
    <n v="21.8"/>
    <x v="1"/>
    <x v="537"/>
    <x v="0"/>
  </r>
  <r>
    <s v="CL100647"/>
    <x v="3"/>
    <s v="Tier 3"/>
    <x v="3"/>
    <n v="89700"/>
    <x v="483"/>
    <n v="36"/>
    <n v="148419"/>
    <n v="845"/>
    <x v="3"/>
    <n v="10.5"/>
    <n v="19.100000000000001"/>
    <x v="1"/>
    <x v="422"/>
    <x v="3"/>
  </r>
  <r>
    <s v="CL100648"/>
    <x v="2"/>
    <s v="Tier 3"/>
    <x v="4"/>
    <n v="345676"/>
    <x v="484"/>
    <n v="12"/>
    <n v="150374"/>
    <n v="674"/>
    <x v="0"/>
    <n v="5.7"/>
    <n v="47.9"/>
    <x v="1"/>
    <x v="538"/>
    <x v="0"/>
  </r>
  <r>
    <s v="CL100649"/>
    <x v="0"/>
    <s v="Tier 2"/>
    <x v="0"/>
    <n v="716935"/>
    <x v="485"/>
    <n v="300"/>
    <n v="59186"/>
    <n v="841"/>
    <x v="1"/>
    <n v="5"/>
    <n v="38"/>
    <x v="1"/>
    <x v="539"/>
    <x v="3"/>
  </r>
  <r>
    <s v="CL100650"/>
    <x v="4"/>
    <s v="Tier 1"/>
    <x v="0"/>
    <n v="394770"/>
    <x v="242"/>
    <n v="24"/>
    <n v="54928"/>
    <n v="650"/>
    <x v="0"/>
    <n v="0.9"/>
    <n v="33.799999999999997"/>
    <x v="1"/>
    <x v="540"/>
    <x v="0"/>
  </r>
  <r>
    <s v="CL100651"/>
    <x v="0"/>
    <s v="Tier 2"/>
    <x v="6"/>
    <n v="401087"/>
    <x v="365"/>
    <n v="300"/>
    <n v="150990"/>
    <n v="798"/>
    <x v="3"/>
    <n v="16.100000000000001"/>
    <n v="22.2"/>
    <x v="2"/>
    <x v="201"/>
    <x v="3"/>
  </r>
  <r>
    <s v="CL100652"/>
    <x v="0"/>
    <s v="Tier 3"/>
    <x v="4"/>
    <n v="51002"/>
    <x v="486"/>
    <n v="24"/>
    <n v="115029"/>
    <n v="600"/>
    <x v="0"/>
    <n v="6.6"/>
    <n v="10"/>
    <x v="1"/>
    <x v="499"/>
    <x v="1"/>
  </r>
  <r>
    <s v="CL100653"/>
    <x v="2"/>
    <s v="Tier 2"/>
    <x v="3"/>
    <n v="54812"/>
    <x v="474"/>
    <n v="12"/>
    <n v="48711"/>
    <n v="671"/>
    <x v="0"/>
    <n v="1.3"/>
    <n v="9.1999999999999993"/>
    <x v="0"/>
    <x v="206"/>
    <x v="0"/>
  </r>
  <r>
    <s v="CL100654"/>
    <x v="0"/>
    <s v="Tier 1"/>
    <x v="3"/>
    <n v="420842"/>
    <x v="34"/>
    <n v="24"/>
    <n v="82962"/>
    <n v="706"/>
    <x v="0"/>
    <n v="5.8"/>
    <n v="30.2"/>
    <x v="1"/>
    <x v="541"/>
    <x v="2"/>
  </r>
  <r>
    <s v="CL100655"/>
    <x v="4"/>
    <s v="Tier 3"/>
    <x v="4"/>
    <n v="720339"/>
    <x v="296"/>
    <n v="48"/>
    <n v="48039"/>
    <n v="659"/>
    <x v="0"/>
    <n v="20"/>
    <n v="38.5"/>
    <x v="0"/>
    <x v="16"/>
    <x v="0"/>
  </r>
  <r>
    <s v="CL100656"/>
    <x v="4"/>
    <s v="Tier 2"/>
    <x v="1"/>
    <n v="262906"/>
    <x v="343"/>
    <n v="300"/>
    <n v="64561"/>
    <n v="817"/>
    <x v="0"/>
    <n v="21.3"/>
    <n v="29.5"/>
    <x v="3"/>
    <x v="542"/>
    <x v="3"/>
  </r>
  <r>
    <s v="CL100657"/>
    <x v="0"/>
    <s v="Tier 2"/>
    <x v="1"/>
    <n v="113946"/>
    <x v="487"/>
    <n v="12"/>
    <n v="29577"/>
    <n v="761"/>
    <x v="3"/>
    <n v="12.1"/>
    <n v="41.6"/>
    <x v="1"/>
    <x v="399"/>
    <x v="3"/>
  </r>
  <r>
    <s v="CL100658"/>
    <x v="3"/>
    <s v="Tier 1"/>
    <x v="0"/>
    <n v="71668"/>
    <x v="200"/>
    <n v="48"/>
    <n v="135792"/>
    <n v="604"/>
    <x v="2"/>
    <n v="10.4"/>
    <n v="9.3000000000000007"/>
    <x v="1"/>
    <x v="543"/>
    <x v="1"/>
  </r>
  <r>
    <s v="CL100659"/>
    <x v="0"/>
    <s v="Tier 2"/>
    <x v="1"/>
    <n v="104003"/>
    <x v="488"/>
    <n v="24"/>
    <n v="187422"/>
    <n v="735"/>
    <x v="0"/>
    <n v="24.4"/>
    <n v="22.7"/>
    <x v="0"/>
    <x v="544"/>
    <x v="2"/>
  </r>
  <r>
    <s v="CL100660"/>
    <x v="4"/>
    <s v="Tier 1"/>
    <x v="2"/>
    <n v="740430"/>
    <x v="489"/>
    <n v="12"/>
    <n v="192870"/>
    <n v="584"/>
    <x v="3"/>
    <n v="5"/>
    <n v="17.5"/>
    <x v="0"/>
    <x v="545"/>
    <x v="1"/>
  </r>
  <r>
    <s v="CL100661"/>
    <x v="8"/>
    <s v="Tier 2"/>
    <x v="4"/>
    <n v="225462"/>
    <x v="251"/>
    <n v="24"/>
    <n v="38785"/>
    <n v="699"/>
    <x v="0"/>
    <n v="5.4"/>
    <n v="25.9"/>
    <x v="0"/>
    <x v="546"/>
    <x v="0"/>
  </r>
  <r>
    <s v="CL100662"/>
    <x v="3"/>
    <s v="Tier 1"/>
    <x v="6"/>
    <n v="724174"/>
    <x v="265"/>
    <n v="300"/>
    <n v="100227"/>
    <n v="597"/>
    <x v="0"/>
    <n v="7.3"/>
    <n v="10.9"/>
    <x v="1"/>
    <x v="547"/>
    <x v="1"/>
  </r>
  <r>
    <s v="CL100663"/>
    <x v="4"/>
    <s v="Tier 2"/>
    <x v="1"/>
    <n v="633889"/>
    <x v="490"/>
    <n v="12"/>
    <n v="146680"/>
    <n v="777"/>
    <x v="1"/>
    <n v="4.3"/>
    <n v="46.2"/>
    <x v="1"/>
    <x v="509"/>
    <x v="3"/>
  </r>
  <r>
    <s v="CL100664"/>
    <x v="4"/>
    <s v="Tier 3"/>
    <x v="4"/>
    <n v="274956"/>
    <x v="491"/>
    <n v="24"/>
    <n v="89957"/>
    <n v="636"/>
    <x v="1"/>
    <n v="9.5"/>
    <n v="16.899999999999999"/>
    <x v="2"/>
    <x v="4"/>
    <x v="1"/>
  </r>
  <r>
    <s v="CL100665"/>
    <x v="4"/>
    <s v="Tier 1"/>
    <x v="4"/>
    <n v="66844"/>
    <x v="492"/>
    <n v="300"/>
    <n v="93431"/>
    <n v="672"/>
    <x v="2"/>
    <n v="22.8"/>
    <n v="44.9"/>
    <x v="2"/>
    <x v="259"/>
    <x v="0"/>
  </r>
  <r>
    <s v="CL100666"/>
    <x v="4"/>
    <s v="Tier 3"/>
    <x v="4"/>
    <n v="730453"/>
    <x v="457"/>
    <n v="48"/>
    <n v="176369"/>
    <n v="598"/>
    <x v="0"/>
    <n v="15.4"/>
    <n v="25"/>
    <x v="1"/>
    <x v="548"/>
    <x v="1"/>
  </r>
  <r>
    <s v="CL100667"/>
    <x v="4"/>
    <s v="Tier 1"/>
    <x v="2"/>
    <n v="400395"/>
    <x v="493"/>
    <n v="240"/>
    <n v="99894"/>
    <n v="772"/>
    <x v="1"/>
    <n v="10.3"/>
    <n v="47.4"/>
    <x v="3"/>
    <x v="193"/>
    <x v="3"/>
  </r>
  <r>
    <s v="CL100668"/>
    <x v="4"/>
    <s v="Tier 3"/>
    <x v="0"/>
    <n v="704158"/>
    <x v="494"/>
    <n v="48"/>
    <n v="178653"/>
    <n v="816"/>
    <x v="0"/>
    <n v="23.4"/>
    <n v="30.2"/>
    <x v="1"/>
    <x v="549"/>
    <x v="3"/>
  </r>
  <r>
    <s v="CL100669"/>
    <x v="4"/>
    <s v="Tier 2"/>
    <x v="1"/>
    <n v="79601"/>
    <x v="495"/>
    <n v="24"/>
    <n v="83192"/>
    <n v="806"/>
    <x v="0"/>
    <n v="1.2"/>
    <n v="45.2"/>
    <x v="1"/>
    <x v="248"/>
    <x v="3"/>
  </r>
  <r>
    <s v="CL100670"/>
    <x v="4"/>
    <s v="Tier 2"/>
    <x v="0"/>
    <n v="315001"/>
    <x v="161"/>
    <n v="12"/>
    <n v="29462"/>
    <n v="812"/>
    <x v="0"/>
    <n v="5.3"/>
    <n v="8.1999999999999993"/>
    <x v="1"/>
    <x v="550"/>
    <x v="3"/>
  </r>
  <r>
    <s v="CL100671"/>
    <x v="7"/>
    <s v="Tier 2"/>
    <x v="1"/>
    <n v="392699"/>
    <x v="496"/>
    <n v="36"/>
    <n v="156848"/>
    <n v="619"/>
    <x v="2"/>
    <n v="14.1"/>
    <n v="37.9"/>
    <x v="1"/>
    <x v="551"/>
    <x v="1"/>
  </r>
  <r>
    <s v="CL100672"/>
    <x v="4"/>
    <s v="Tier 3"/>
    <x v="1"/>
    <n v="499700"/>
    <x v="497"/>
    <n v="48"/>
    <n v="174583"/>
    <n v="732"/>
    <x v="1"/>
    <n v="15.4"/>
    <n v="44.1"/>
    <x v="0"/>
    <x v="479"/>
    <x v="2"/>
  </r>
  <r>
    <s v="CL100673"/>
    <x v="0"/>
    <s v="Tier 1"/>
    <x v="4"/>
    <n v="287844"/>
    <x v="498"/>
    <n v="48"/>
    <n v="104106"/>
    <n v="706"/>
    <x v="1"/>
    <n v="1"/>
    <n v="13.6"/>
    <x v="1"/>
    <x v="91"/>
    <x v="2"/>
  </r>
  <r>
    <s v="CL100674"/>
    <x v="0"/>
    <s v="Tier 1"/>
    <x v="5"/>
    <n v="437680"/>
    <x v="499"/>
    <n v="300"/>
    <n v="76665"/>
    <n v="816"/>
    <x v="0"/>
    <n v="10.1"/>
    <n v="11.8"/>
    <x v="1"/>
    <x v="170"/>
    <x v="3"/>
  </r>
  <r>
    <s v="CL100675"/>
    <x v="8"/>
    <s v="Tier 2"/>
    <x v="4"/>
    <n v="178423"/>
    <x v="500"/>
    <n v="120"/>
    <n v="203486"/>
    <n v="634"/>
    <x v="0"/>
    <n v="16.2"/>
    <n v="25"/>
    <x v="0"/>
    <x v="552"/>
    <x v="1"/>
  </r>
  <r>
    <s v="CL100676"/>
    <x v="4"/>
    <s v="Tier 3"/>
    <x v="2"/>
    <n v="98330"/>
    <x v="501"/>
    <n v="36"/>
    <n v="109010"/>
    <n v="751"/>
    <x v="0"/>
    <n v="17.5"/>
    <n v="45.3"/>
    <x v="0"/>
    <x v="553"/>
    <x v="3"/>
  </r>
  <r>
    <s v="CL100677"/>
    <x v="0"/>
    <s v="Tier 2"/>
    <x v="1"/>
    <n v="230391"/>
    <x v="281"/>
    <n v="24"/>
    <n v="100573"/>
    <n v="688"/>
    <x v="0"/>
    <n v="16"/>
    <n v="29.7"/>
    <x v="0"/>
    <x v="431"/>
    <x v="0"/>
  </r>
  <r>
    <s v="CL100678"/>
    <x v="1"/>
    <s v="Tier 2"/>
    <x v="4"/>
    <n v="218606"/>
    <x v="502"/>
    <n v="240"/>
    <n v="135803"/>
    <n v="763"/>
    <x v="0"/>
    <n v="8"/>
    <n v="29.1"/>
    <x v="3"/>
    <x v="554"/>
    <x v="3"/>
  </r>
  <r>
    <s v="CL100679"/>
    <x v="5"/>
    <s v="Tier 1"/>
    <x v="0"/>
    <n v="412085"/>
    <x v="109"/>
    <n v="12"/>
    <n v="147682"/>
    <n v="777"/>
    <x v="1"/>
    <n v="2.2999999999999998"/>
    <n v="13.6"/>
    <x v="1"/>
    <x v="214"/>
    <x v="3"/>
  </r>
  <r>
    <s v="CL100680"/>
    <x v="2"/>
    <s v="Tier 3"/>
    <x v="0"/>
    <n v="196387"/>
    <x v="455"/>
    <n v="120"/>
    <n v="41386"/>
    <n v="666"/>
    <x v="0"/>
    <n v="10.7"/>
    <n v="8"/>
    <x v="0"/>
    <x v="526"/>
    <x v="0"/>
  </r>
  <r>
    <s v="CL100681"/>
    <x v="4"/>
    <s v="Tier 1"/>
    <x v="0"/>
    <n v="246133"/>
    <x v="503"/>
    <n v="24"/>
    <n v="152069"/>
    <n v="780"/>
    <x v="0"/>
    <n v="3.2"/>
    <n v="40.4"/>
    <x v="0"/>
    <x v="369"/>
    <x v="3"/>
  </r>
  <r>
    <s v="CL100682"/>
    <x v="4"/>
    <s v="Tier 2"/>
    <x v="1"/>
    <n v="491904"/>
    <x v="106"/>
    <n v="60"/>
    <n v="82460"/>
    <n v="790"/>
    <x v="0"/>
    <n v="23.7"/>
    <n v="11.5"/>
    <x v="0"/>
    <x v="555"/>
    <x v="3"/>
  </r>
  <r>
    <s v="CL100683"/>
    <x v="3"/>
    <s v="Tier 1"/>
    <x v="0"/>
    <n v="419170"/>
    <x v="504"/>
    <n v="240"/>
    <n v="165293"/>
    <n v="697"/>
    <x v="0"/>
    <n v="11.9"/>
    <n v="33.4"/>
    <x v="1"/>
    <x v="446"/>
    <x v="0"/>
  </r>
  <r>
    <s v="CL100684"/>
    <x v="6"/>
    <s v="Tier 1"/>
    <x v="0"/>
    <n v="691915"/>
    <x v="505"/>
    <n v="48"/>
    <n v="182546"/>
    <n v="770"/>
    <x v="0"/>
    <n v="7.9"/>
    <n v="44.6"/>
    <x v="1"/>
    <x v="556"/>
    <x v="3"/>
  </r>
  <r>
    <s v="CL100685"/>
    <x v="0"/>
    <s v="Tier 1"/>
    <x v="0"/>
    <n v="330497"/>
    <x v="506"/>
    <n v="60"/>
    <n v="143375"/>
    <n v="621"/>
    <x v="3"/>
    <n v="19.2"/>
    <n v="16.3"/>
    <x v="3"/>
    <x v="557"/>
    <x v="1"/>
  </r>
  <r>
    <s v="CL100686"/>
    <x v="0"/>
    <s v="Tier 1"/>
    <x v="5"/>
    <n v="480406"/>
    <x v="507"/>
    <n v="48"/>
    <n v="140660"/>
    <n v="621"/>
    <x v="1"/>
    <n v="12.4"/>
    <n v="34.6"/>
    <x v="1"/>
    <x v="303"/>
    <x v="1"/>
  </r>
  <r>
    <s v="CL100687"/>
    <x v="4"/>
    <s v="Tier 2"/>
    <x v="0"/>
    <n v="443242"/>
    <x v="508"/>
    <n v="48"/>
    <n v="180117"/>
    <n v="596"/>
    <x v="1"/>
    <n v="7.8"/>
    <n v="11.1"/>
    <x v="3"/>
    <x v="558"/>
    <x v="1"/>
  </r>
  <r>
    <s v="CL100688"/>
    <x v="2"/>
    <s v="Tier 1"/>
    <x v="1"/>
    <n v="367916"/>
    <x v="426"/>
    <n v="60"/>
    <n v="119319"/>
    <n v="837"/>
    <x v="0"/>
    <n v="20.3"/>
    <n v="32.200000000000003"/>
    <x v="0"/>
    <x v="559"/>
    <x v="3"/>
  </r>
  <r>
    <s v="CL100689"/>
    <x v="4"/>
    <s v="Tier 1"/>
    <x v="0"/>
    <n v="183048"/>
    <x v="261"/>
    <n v="240"/>
    <n v="144582"/>
    <n v="642"/>
    <x v="0"/>
    <n v="21.7"/>
    <n v="14.6"/>
    <x v="0"/>
    <x v="146"/>
    <x v="1"/>
  </r>
  <r>
    <s v="CL100690"/>
    <x v="4"/>
    <s v="Tier 1"/>
    <x v="4"/>
    <n v="358646"/>
    <x v="509"/>
    <n v="300"/>
    <n v="163994"/>
    <n v="641"/>
    <x v="0"/>
    <n v="16.8"/>
    <n v="37.4"/>
    <x v="3"/>
    <x v="329"/>
    <x v="1"/>
  </r>
  <r>
    <s v="CL100691"/>
    <x v="0"/>
    <s v="Tier 1"/>
    <x v="0"/>
    <n v="381087"/>
    <x v="510"/>
    <n v="60"/>
    <n v="181778"/>
    <n v="679"/>
    <x v="3"/>
    <n v="1.2"/>
    <n v="20"/>
    <x v="0"/>
    <x v="560"/>
    <x v="0"/>
  </r>
  <r>
    <s v="CL100692"/>
    <x v="0"/>
    <s v="Tier 1"/>
    <x v="0"/>
    <n v="376994"/>
    <x v="511"/>
    <n v="24"/>
    <n v="70771"/>
    <n v="598"/>
    <x v="1"/>
    <n v="14.2"/>
    <n v="26.5"/>
    <x v="1"/>
    <x v="262"/>
    <x v="1"/>
  </r>
  <r>
    <s v="CL100693"/>
    <x v="4"/>
    <s v="Tier 1"/>
    <x v="1"/>
    <n v="574383"/>
    <x v="512"/>
    <n v="120"/>
    <n v="80335"/>
    <n v="596"/>
    <x v="0"/>
    <n v="19.100000000000001"/>
    <n v="32"/>
    <x v="1"/>
    <x v="336"/>
    <x v="1"/>
  </r>
  <r>
    <s v="CL100694"/>
    <x v="4"/>
    <s v="Tier 2"/>
    <x v="0"/>
    <n v="150342"/>
    <x v="513"/>
    <n v="120"/>
    <n v="80949"/>
    <n v="825"/>
    <x v="0"/>
    <n v="3.4"/>
    <n v="14.9"/>
    <x v="3"/>
    <x v="561"/>
    <x v="3"/>
  </r>
  <r>
    <s v="CL100695"/>
    <x v="3"/>
    <s v="Tier 2"/>
    <x v="0"/>
    <n v="691268"/>
    <x v="514"/>
    <n v="60"/>
    <n v="123558"/>
    <n v="830"/>
    <x v="0"/>
    <n v="5.7"/>
    <n v="37.700000000000003"/>
    <x v="1"/>
    <x v="562"/>
    <x v="3"/>
  </r>
  <r>
    <s v="CL100696"/>
    <x v="4"/>
    <s v="Tier 2"/>
    <x v="0"/>
    <n v="67433"/>
    <x v="515"/>
    <n v="24"/>
    <n v="174312"/>
    <n v="660"/>
    <x v="1"/>
    <n v="22.1"/>
    <n v="20.100000000000001"/>
    <x v="1"/>
    <x v="195"/>
    <x v="0"/>
  </r>
  <r>
    <s v="CL100697"/>
    <x v="0"/>
    <s v="Tier 1"/>
    <x v="0"/>
    <n v="549279"/>
    <x v="516"/>
    <n v="300"/>
    <n v="130272"/>
    <n v="618"/>
    <x v="3"/>
    <n v="0.5"/>
    <n v="34.5"/>
    <x v="1"/>
    <x v="85"/>
    <x v="1"/>
  </r>
  <r>
    <s v="CL100698"/>
    <x v="4"/>
    <s v="Tier 1"/>
    <x v="0"/>
    <n v="277919"/>
    <x v="517"/>
    <n v="120"/>
    <n v="30716"/>
    <n v="615"/>
    <x v="0"/>
    <n v="18.8"/>
    <n v="14.3"/>
    <x v="3"/>
    <x v="537"/>
    <x v="1"/>
  </r>
  <r>
    <s v="CL100699"/>
    <x v="0"/>
    <s v="Tier 3"/>
    <x v="0"/>
    <n v="476017"/>
    <x v="14"/>
    <n v="24"/>
    <n v="175646"/>
    <n v="776"/>
    <x v="0"/>
    <n v="11.8"/>
    <n v="35.5"/>
    <x v="1"/>
    <x v="506"/>
    <x v="3"/>
  </r>
  <r>
    <s v="CL100700"/>
    <x v="0"/>
    <s v="Tier 2"/>
    <x v="2"/>
    <n v="352139"/>
    <x v="10"/>
    <n v="300"/>
    <n v="203138"/>
    <n v="737"/>
    <x v="0"/>
    <n v="11.2"/>
    <n v="13.1"/>
    <x v="0"/>
    <x v="563"/>
    <x v="2"/>
  </r>
  <r>
    <s v="CL100701"/>
    <x v="4"/>
    <s v="Tier 1"/>
    <x v="4"/>
    <n v="152745"/>
    <x v="228"/>
    <n v="24"/>
    <n v="179285"/>
    <n v="783"/>
    <x v="0"/>
    <n v="0.2"/>
    <n v="25"/>
    <x v="1"/>
    <x v="564"/>
    <x v="3"/>
  </r>
  <r>
    <s v="CL100702"/>
    <x v="4"/>
    <s v="Tier 1"/>
    <x v="1"/>
    <n v="652096"/>
    <x v="9"/>
    <n v="48"/>
    <n v="99916"/>
    <n v="775"/>
    <x v="0"/>
    <n v="20.5"/>
    <n v="17.899999999999999"/>
    <x v="1"/>
    <x v="565"/>
    <x v="3"/>
  </r>
  <r>
    <s v="CL100703"/>
    <x v="4"/>
    <s v="Tier 1"/>
    <x v="0"/>
    <n v="687416"/>
    <x v="518"/>
    <n v="120"/>
    <n v="78906"/>
    <n v="795"/>
    <x v="0"/>
    <n v="9"/>
    <n v="37.9"/>
    <x v="0"/>
    <x v="566"/>
    <x v="3"/>
  </r>
  <r>
    <s v="CL100704"/>
    <x v="4"/>
    <s v="Tier 1"/>
    <x v="6"/>
    <n v="142686"/>
    <x v="519"/>
    <n v="300"/>
    <n v="28463"/>
    <n v="775"/>
    <x v="1"/>
    <n v="13.5"/>
    <n v="18.5"/>
    <x v="1"/>
    <x v="298"/>
    <x v="3"/>
  </r>
  <r>
    <s v="CL100705"/>
    <x v="8"/>
    <s v="Tier 1"/>
    <x v="1"/>
    <n v="12415"/>
    <x v="520"/>
    <n v="120"/>
    <n v="191045"/>
    <n v="731"/>
    <x v="1"/>
    <n v="16.899999999999999"/>
    <n v="43.3"/>
    <x v="0"/>
    <x v="567"/>
    <x v="2"/>
  </r>
  <r>
    <s v="CL100706"/>
    <x v="4"/>
    <s v="Tier 2"/>
    <x v="0"/>
    <n v="442100"/>
    <x v="458"/>
    <n v="48"/>
    <n v="102694"/>
    <n v="593"/>
    <x v="0"/>
    <n v="17.600000000000001"/>
    <n v="43.7"/>
    <x v="0"/>
    <x v="568"/>
    <x v="1"/>
  </r>
  <r>
    <s v="CL100707"/>
    <x v="2"/>
    <s v="Tier 2"/>
    <x v="4"/>
    <n v="304188"/>
    <x v="521"/>
    <n v="60"/>
    <n v="179723"/>
    <n v="725"/>
    <x v="1"/>
    <n v="23.9"/>
    <n v="15.9"/>
    <x v="3"/>
    <x v="569"/>
    <x v="2"/>
  </r>
  <r>
    <s v="CL100708"/>
    <x v="4"/>
    <s v="Tier 2"/>
    <x v="0"/>
    <n v="717509"/>
    <x v="234"/>
    <n v="48"/>
    <n v="96694"/>
    <n v="636"/>
    <x v="0"/>
    <n v="13.3"/>
    <n v="32.6"/>
    <x v="1"/>
    <x v="570"/>
    <x v="1"/>
  </r>
  <r>
    <s v="CL100709"/>
    <x v="3"/>
    <s v="Tier 2"/>
    <x v="0"/>
    <n v="173616"/>
    <x v="522"/>
    <n v="120"/>
    <n v="48008"/>
    <n v="790"/>
    <x v="0"/>
    <n v="10"/>
    <n v="11.5"/>
    <x v="3"/>
    <x v="571"/>
    <x v="3"/>
  </r>
  <r>
    <s v="CL100710"/>
    <x v="2"/>
    <s v="Tier 3"/>
    <x v="1"/>
    <n v="54976"/>
    <x v="523"/>
    <n v="120"/>
    <n v="98474"/>
    <n v="847"/>
    <x v="0"/>
    <n v="23.8"/>
    <n v="23.7"/>
    <x v="0"/>
    <x v="88"/>
    <x v="3"/>
  </r>
  <r>
    <s v="CL100711"/>
    <x v="3"/>
    <s v="Tier 2"/>
    <x v="3"/>
    <n v="430468"/>
    <x v="524"/>
    <n v="240"/>
    <n v="66185"/>
    <n v="789"/>
    <x v="0"/>
    <n v="16.100000000000001"/>
    <n v="36.5"/>
    <x v="3"/>
    <x v="572"/>
    <x v="3"/>
  </r>
  <r>
    <s v="CL100712"/>
    <x v="0"/>
    <s v="Tier 3"/>
    <x v="1"/>
    <n v="270976"/>
    <x v="525"/>
    <n v="300"/>
    <n v="115924"/>
    <n v="596"/>
    <x v="0"/>
    <n v="7.5"/>
    <n v="34.4"/>
    <x v="1"/>
    <x v="365"/>
    <x v="1"/>
  </r>
  <r>
    <s v="CL100713"/>
    <x v="0"/>
    <s v="Tier 1"/>
    <x v="2"/>
    <n v="226883"/>
    <x v="260"/>
    <n v="60"/>
    <n v="62980"/>
    <n v="782"/>
    <x v="0"/>
    <n v="3.2"/>
    <n v="33"/>
    <x v="0"/>
    <x v="3"/>
    <x v="3"/>
  </r>
  <r>
    <s v="CL100714"/>
    <x v="4"/>
    <s v="Tier 1"/>
    <x v="5"/>
    <n v="216509"/>
    <x v="491"/>
    <n v="48"/>
    <n v="50504"/>
    <n v="678"/>
    <x v="0"/>
    <n v="21.1"/>
    <n v="19.3"/>
    <x v="3"/>
    <x v="573"/>
    <x v="0"/>
  </r>
  <r>
    <s v="CL100715"/>
    <x v="6"/>
    <s v="Tier 1"/>
    <x v="0"/>
    <n v="501965"/>
    <x v="473"/>
    <n v="300"/>
    <n v="82970"/>
    <n v="788"/>
    <x v="2"/>
    <n v="9.1"/>
    <n v="23.1"/>
    <x v="3"/>
    <x v="574"/>
    <x v="3"/>
  </r>
  <r>
    <s v="CL100716"/>
    <x v="2"/>
    <s v="Tier 2"/>
    <x v="0"/>
    <n v="523823"/>
    <x v="307"/>
    <n v="12"/>
    <n v="44766"/>
    <n v="708"/>
    <x v="0"/>
    <n v="16.5"/>
    <n v="12.1"/>
    <x v="1"/>
    <x v="502"/>
    <x v="2"/>
  </r>
  <r>
    <s v="CL100717"/>
    <x v="1"/>
    <s v="Tier 3"/>
    <x v="1"/>
    <n v="224526"/>
    <x v="519"/>
    <n v="300"/>
    <n v="144944"/>
    <n v="831"/>
    <x v="0"/>
    <n v="11.8"/>
    <n v="36.799999999999997"/>
    <x v="1"/>
    <x v="449"/>
    <x v="3"/>
  </r>
  <r>
    <s v="CL100718"/>
    <x v="4"/>
    <s v="Tier 1"/>
    <x v="1"/>
    <n v="352220"/>
    <x v="219"/>
    <n v="12"/>
    <n v="121922"/>
    <n v="844"/>
    <x v="0"/>
    <n v="5"/>
    <n v="28.2"/>
    <x v="1"/>
    <x v="373"/>
    <x v="3"/>
  </r>
  <r>
    <s v="CL100719"/>
    <x v="2"/>
    <s v="Tier 3"/>
    <x v="1"/>
    <n v="718087"/>
    <x v="526"/>
    <n v="60"/>
    <n v="170767"/>
    <n v="767"/>
    <x v="1"/>
    <n v="15"/>
    <n v="36.4"/>
    <x v="1"/>
    <x v="147"/>
    <x v="3"/>
  </r>
  <r>
    <s v="CL100720"/>
    <x v="6"/>
    <s v="Tier 1"/>
    <x v="6"/>
    <n v="43578"/>
    <x v="390"/>
    <n v="48"/>
    <n v="176868"/>
    <n v="793"/>
    <x v="0"/>
    <n v="1.5"/>
    <n v="18"/>
    <x v="1"/>
    <x v="191"/>
    <x v="3"/>
  </r>
  <r>
    <s v="CL100721"/>
    <x v="4"/>
    <s v="Tier 3"/>
    <x v="2"/>
    <n v="619741"/>
    <x v="283"/>
    <n v="48"/>
    <n v="201615"/>
    <n v="790"/>
    <x v="1"/>
    <n v="10.3"/>
    <n v="21"/>
    <x v="1"/>
    <x v="410"/>
    <x v="3"/>
  </r>
  <r>
    <s v="CL100722"/>
    <x v="4"/>
    <s v="Tier 1"/>
    <x v="4"/>
    <n v="420534"/>
    <x v="290"/>
    <n v="24"/>
    <n v="173631"/>
    <n v="655"/>
    <x v="0"/>
    <n v="13.7"/>
    <n v="21.4"/>
    <x v="3"/>
    <x v="575"/>
    <x v="0"/>
  </r>
  <r>
    <s v="CL100723"/>
    <x v="2"/>
    <s v="Tier 1"/>
    <x v="0"/>
    <n v="213859"/>
    <x v="230"/>
    <n v="120"/>
    <n v="192211"/>
    <n v="727"/>
    <x v="0"/>
    <n v="10.9"/>
    <n v="9"/>
    <x v="1"/>
    <x v="576"/>
    <x v="2"/>
  </r>
  <r>
    <s v="CL100724"/>
    <x v="0"/>
    <s v="Tier 1"/>
    <x v="3"/>
    <n v="116435"/>
    <x v="527"/>
    <n v="36"/>
    <n v="148494"/>
    <n v="792"/>
    <x v="0"/>
    <n v="18.7"/>
    <n v="21.6"/>
    <x v="0"/>
    <x v="529"/>
    <x v="3"/>
  </r>
  <r>
    <s v="CL100725"/>
    <x v="2"/>
    <s v="Tier 1"/>
    <x v="5"/>
    <n v="745389"/>
    <x v="528"/>
    <n v="240"/>
    <n v="36802"/>
    <n v="688"/>
    <x v="0"/>
    <n v="20.7"/>
    <n v="40.1"/>
    <x v="1"/>
    <x v="409"/>
    <x v="0"/>
  </r>
  <r>
    <s v="CL100726"/>
    <x v="4"/>
    <s v="Tier 1"/>
    <x v="3"/>
    <n v="156538"/>
    <x v="529"/>
    <n v="300"/>
    <n v="199277"/>
    <n v="708"/>
    <x v="0"/>
    <n v="19.3"/>
    <n v="43.9"/>
    <x v="1"/>
    <x v="577"/>
    <x v="2"/>
  </r>
  <r>
    <s v="CL100727"/>
    <x v="2"/>
    <s v="Tier 1"/>
    <x v="0"/>
    <n v="50475"/>
    <x v="238"/>
    <n v="60"/>
    <n v="62159"/>
    <n v="589"/>
    <x v="0"/>
    <n v="1"/>
    <n v="28.7"/>
    <x v="1"/>
    <x v="10"/>
    <x v="1"/>
  </r>
  <r>
    <s v="CL100728"/>
    <x v="4"/>
    <s v="Tier 3"/>
    <x v="4"/>
    <n v="745520"/>
    <x v="530"/>
    <n v="36"/>
    <n v="39516"/>
    <n v="626"/>
    <x v="0"/>
    <n v="4.9000000000000004"/>
    <n v="26.2"/>
    <x v="1"/>
    <x v="578"/>
    <x v="1"/>
  </r>
  <r>
    <s v="CL100729"/>
    <x v="4"/>
    <s v="Tier 2"/>
    <x v="0"/>
    <n v="162636"/>
    <x v="426"/>
    <n v="300"/>
    <n v="78492"/>
    <n v="675"/>
    <x v="0"/>
    <n v="13.4"/>
    <n v="9.1999999999999993"/>
    <x v="0"/>
    <x v="372"/>
    <x v="0"/>
  </r>
  <r>
    <s v="CL100730"/>
    <x v="4"/>
    <s v="Tier 1"/>
    <x v="0"/>
    <n v="158484"/>
    <x v="411"/>
    <n v="36"/>
    <n v="57086"/>
    <n v="682"/>
    <x v="0"/>
    <n v="23.4"/>
    <n v="43.2"/>
    <x v="3"/>
    <x v="192"/>
    <x v="0"/>
  </r>
  <r>
    <s v="CL100731"/>
    <x v="2"/>
    <s v="Tier 2"/>
    <x v="0"/>
    <n v="98526"/>
    <x v="408"/>
    <n v="60"/>
    <n v="141758"/>
    <n v="725"/>
    <x v="2"/>
    <n v="20.9"/>
    <n v="8.5"/>
    <x v="1"/>
    <x v="579"/>
    <x v="2"/>
  </r>
  <r>
    <s v="CL100732"/>
    <x v="3"/>
    <s v="Tier 2"/>
    <x v="4"/>
    <n v="56001"/>
    <x v="531"/>
    <n v="48"/>
    <n v="58480"/>
    <n v="606"/>
    <x v="0"/>
    <n v="21.1"/>
    <n v="45.8"/>
    <x v="1"/>
    <x v="580"/>
    <x v="1"/>
  </r>
  <r>
    <s v="CL100733"/>
    <x v="0"/>
    <s v="Tier 1"/>
    <x v="4"/>
    <n v="197029"/>
    <x v="532"/>
    <n v="60"/>
    <n v="211163"/>
    <n v="799"/>
    <x v="1"/>
    <n v="7.6"/>
    <n v="27.6"/>
    <x v="1"/>
    <x v="452"/>
    <x v="3"/>
  </r>
  <r>
    <s v="CL100734"/>
    <x v="4"/>
    <s v="Tier 1"/>
    <x v="0"/>
    <n v="433733"/>
    <x v="533"/>
    <n v="300"/>
    <n v="156023"/>
    <n v="597"/>
    <x v="1"/>
    <n v="10.7"/>
    <n v="21.7"/>
    <x v="3"/>
    <x v="581"/>
    <x v="1"/>
  </r>
  <r>
    <s v="CL100735"/>
    <x v="5"/>
    <s v="Tier 1"/>
    <x v="1"/>
    <n v="673516"/>
    <x v="534"/>
    <n v="36"/>
    <n v="138195"/>
    <n v="746"/>
    <x v="0"/>
    <n v="11.8"/>
    <n v="45"/>
    <x v="0"/>
    <x v="582"/>
    <x v="2"/>
  </r>
  <r>
    <s v="CL100736"/>
    <x v="0"/>
    <s v="Tier 1"/>
    <x v="1"/>
    <n v="554999"/>
    <x v="535"/>
    <n v="120"/>
    <n v="206838"/>
    <n v="661"/>
    <x v="0"/>
    <n v="3.9"/>
    <n v="9"/>
    <x v="1"/>
    <x v="583"/>
    <x v="0"/>
  </r>
  <r>
    <s v="CL100737"/>
    <x v="2"/>
    <s v="Tier 2"/>
    <x v="0"/>
    <n v="559394"/>
    <x v="430"/>
    <n v="240"/>
    <n v="66737"/>
    <n v="651"/>
    <x v="0"/>
    <n v="0.8"/>
    <n v="31.3"/>
    <x v="0"/>
    <x v="584"/>
    <x v="0"/>
  </r>
  <r>
    <s v="CL100738"/>
    <x v="0"/>
    <s v="Tier 1"/>
    <x v="0"/>
    <n v="487488"/>
    <x v="2"/>
    <n v="240"/>
    <n v="37265"/>
    <n v="833"/>
    <x v="1"/>
    <n v="23.7"/>
    <n v="30"/>
    <x v="3"/>
    <x v="252"/>
    <x v="3"/>
  </r>
  <r>
    <s v="CL100739"/>
    <x v="0"/>
    <s v="Tier 2"/>
    <x v="1"/>
    <n v="397573"/>
    <x v="536"/>
    <n v="120"/>
    <n v="142165"/>
    <n v="741"/>
    <x v="1"/>
    <n v="6"/>
    <n v="16.8"/>
    <x v="1"/>
    <x v="168"/>
    <x v="2"/>
  </r>
  <r>
    <s v="CL100740"/>
    <x v="0"/>
    <s v="Tier 2"/>
    <x v="2"/>
    <n v="222583"/>
    <x v="142"/>
    <n v="120"/>
    <n v="147501"/>
    <n v="617"/>
    <x v="1"/>
    <n v="6"/>
    <n v="25.2"/>
    <x v="1"/>
    <x v="585"/>
    <x v="1"/>
  </r>
  <r>
    <s v="CL100741"/>
    <x v="4"/>
    <s v="Tier 1"/>
    <x v="0"/>
    <n v="368898"/>
    <x v="68"/>
    <n v="48"/>
    <n v="98990"/>
    <n v="780"/>
    <x v="3"/>
    <n v="2.1"/>
    <n v="34.1"/>
    <x v="3"/>
    <x v="586"/>
    <x v="3"/>
  </r>
  <r>
    <s v="CL100742"/>
    <x v="2"/>
    <s v="Tier 2"/>
    <x v="0"/>
    <n v="143286"/>
    <x v="522"/>
    <n v="300"/>
    <n v="43386"/>
    <n v="779"/>
    <x v="1"/>
    <n v="23.2"/>
    <n v="37.1"/>
    <x v="0"/>
    <x v="456"/>
    <x v="3"/>
  </r>
  <r>
    <s v="CL100743"/>
    <x v="0"/>
    <s v="Tier 1"/>
    <x v="0"/>
    <n v="232189"/>
    <x v="537"/>
    <n v="12"/>
    <n v="132718"/>
    <n v="834"/>
    <x v="0"/>
    <n v="14.5"/>
    <n v="8"/>
    <x v="0"/>
    <x v="356"/>
    <x v="3"/>
  </r>
  <r>
    <s v="CL100744"/>
    <x v="4"/>
    <s v="Tier 3"/>
    <x v="6"/>
    <n v="131479"/>
    <x v="538"/>
    <n v="60"/>
    <n v="65425"/>
    <n v="758"/>
    <x v="0"/>
    <n v="16.7"/>
    <n v="45.5"/>
    <x v="0"/>
    <x v="192"/>
    <x v="3"/>
  </r>
  <r>
    <s v="CL100745"/>
    <x v="7"/>
    <s v="Tier 1"/>
    <x v="4"/>
    <n v="425343"/>
    <x v="539"/>
    <n v="240"/>
    <n v="149635"/>
    <n v="614"/>
    <x v="3"/>
    <n v="22.8"/>
    <n v="14.6"/>
    <x v="1"/>
    <x v="587"/>
    <x v="1"/>
  </r>
  <r>
    <s v="CL100746"/>
    <x v="0"/>
    <s v="Tier 3"/>
    <x v="4"/>
    <n v="141213"/>
    <x v="102"/>
    <n v="120"/>
    <n v="202326"/>
    <n v="661"/>
    <x v="0"/>
    <n v="8.6"/>
    <n v="17.3"/>
    <x v="0"/>
    <x v="211"/>
    <x v="0"/>
  </r>
  <r>
    <s v="CL100747"/>
    <x v="0"/>
    <s v="Tier 2"/>
    <x v="0"/>
    <n v="558172"/>
    <x v="428"/>
    <n v="60"/>
    <n v="81634"/>
    <n v="799"/>
    <x v="0"/>
    <n v="15.5"/>
    <n v="18.5"/>
    <x v="0"/>
    <x v="282"/>
    <x v="3"/>
  </r>
  <r>
    <s v="CL100748"/>
    <x v="7"/>
    <s v="Tier 1"/>
    <x v="4"/>
    <n v="269852"/>
    <x v="385"/>
    <n v="240"/>
    <n v="206734"/>
    <n v="737"/>
    <x v="1"/>
    <n v="1"/>
    <n v="9.5"/>
    <x v="1"/>
    <x v="588"/>
    <x v="2"/>
  </r>
  <r>
    <s v="CL100749"/>
    <x v="3"/>
    <s v="Tier 2"/>
    <x v="0"/>
    <n v="544376"/>
    <x v="540"/>
    <n v="120"/>
    <n v="114988"/>
    <n v="583"/>
    <x v="0"/>
    <n v="4.7"/>
    <n v="12.9"/>
    <x v="0"/>
    <x v="38"/>
    <x v="1"/>
  </r>
  <r>
    <s v="CL100750"/>
    <x v="4"/>
    <s v="Tier 3"/>
    <x v="4"/>
    <n v="324759"/>
    <x v="541"/>
    <n v="300"/>
    <n v="134337"/>
    <n v="746"/>
    <x v="3"/>
    <n v="20.8"/>
    <n v="47.5"/>
    <x v="3"/>
    <x v="589"/>
    <x v="2"/>
  </r>
  <r>
    <s v="CL100751"/>
    <x v="6"/>
    <s v="Tier 2"/>
    <x v="6"/>
    <n v="377282"/>
    <x v="542"/>
    <n v="240"/>
    <n v="169215"/>
    <n v="783"/>
    <x v="1"/>
    <n v="19.2"/>
    <n v="20.6"/>
    <x v="1"/>
    <x v="590"/>
    <x v="3"/>
  </r>
  <r>
    <s v="CL100752"/>
    <x v="3"/>
    <s v="Tier 3"/>
    <x v="4"/>
    <n v="705406"/>
    <x v="172"/>
    <n v="48"/>
    <n v="174653"/>
    <n v="773"/>
    <x v="0"/>
    <n v="8.8000000000000007"/>
    <n v="12.6"/>
    <x v="1"/>
    <x v="591"/>
    <x v="3"/>
  </r>
  <r>
    <s v="CL100753"/>
    <x v="4"/>
    <s v="Tier 3"/>
    <x v="3"/>
    <n v="277158"/>
    <x v="543"/>
    <n v="12"/>
    <n v="95443"/>
    <n v="814"/>
    <x v="3"/>
    <n v="9.4"/>
    <n v="12.3"/>
    <x v="1"/>
    <x v="592"/>
    <x v="3"/>
  </r>
  <r>
    <s v="CL100754"/>
    <x v="4"/>
    <s v="Tier 1"/>
    <x v="2"/>
    <n v="724785"/>
    <x v="544"/>
    <n v="12"/>
    <n v="57424"/>
    <n v="785"/>
    <x v="0"/>
    <n v="13.3"/>
    <n v="36.799999999999997"/>
    <x v="0"/>
    <x v="593"/>
    <x v="3"/>
  </r>
  <r>
    <s v="CL100755"/>
    <x v="2"/>
    <s v="Tier 1"/>
    <x v="0"/>
    <n v="401489"/>
    <x v="545"/>
    <n v="120"/>
    <n v="116844"/>
    <n v="729"/>
    <x v="0"/>
    <n v="0"/>
    <n v="42.2"/>
    <x v="1"/>
    <x v="594"/>
    <x v="2"/>
  </r>
  <r>
    <s v="CL100756"/>
    <x v="3"/>
    <s v="Tier 2"/>
    <x v="6"/>
    <n v="707495"/>
    <x v="546"/>
    <n v="240"/>
    <n v="69984"/>
    <n v="738"/>
    <x v="0"/>
    <n v="6"/>
    <n v="18.3"/>
    <x v="0"/>
    <x v="567"/>
    <x v="2"/>
  </r>
  <r>
    <s v="CL100757"/>
    <x v="0"/>
    <s v="Tier 1"/>
    <x v="0"/>
    <n v="369986"/>
    <x v="193"/>
    <n v="48"/>
    <n v="69505"/>
    <n v="745"/>
    <x v="0"/>
    <n v="5.2"/>
    <n v="8.8000000000000007"/>
    <x v="3"/>
    <x v="595"/>
    <x v="2"/>
  </r>
  <r>
    <s v="CL100758"/>
    <x v="7"/>
    <s v="Tier 3"/>
    <x v="1"/>
    <n v="495238"/>
    <x v="298"/>
    <n v="24"/>
    <n v="130478"/>
    <n v="647"/>
    <x v="0"/>
    <n v="6.3"/>
    <n v="16.899999999999999"/>
    <x v="1"/>
    <x v="596"/>
    <x v="1"/>
  </r>
  <r>
    <s v="CL100759"/>
    <x v="2"/>
    <s v="Tier 3"/>
    <x v="0"/>
    <n v="83077"/>
    <x v="389"/>
    <n v="60"/>
    <n v="90699"/>
    <n v="667"/>
    <x v="0"/>
    <n v="20.100000000000001"/>
    <n v="10.3"/>
    <x v="3"/>
    <x v="493"/>
    <x v="0"/>
  </r>
  <r>
    <s v="CL100760"/>
    <x v="4"/>
    <s v="Tier 1"/>
    <x v="0"/>
    <n v="144784"/>
    <x v="547"/>
    <n v="60"/>
    <n v="186029"/>
    <n v="796"/>
    <x v="0"/>
    <n v="7"/>
    <n v="12.1"/>
    <x v="2"/>
    <x v="597"/>
    <x v="3"/>
  </r>
  <r>
    <s v="CL100761"/>
    <x v="4"/>
    <s v="Tier 1"/>
    <x v="1"/>
    <n v="210776"/>
    <x v="93"/>
    <n v="36"/>
    <n v="184536"/>
    <n v="580"/>
    <x v="0"/>
    <n v="4.8"/>
    <n v="25.3"/>
    <x v="1"/>
    <x v="215"/>
    <x v="1"/>
  </r>
  <r>
    <s v="CL100762"/>
    <x v="4"/>
    <s v="Tier 2"/>
    <x v="0"/>
    <n v="320018"/>
    <x v="5"/>
    <n v="48"/>
    <n v="142012"/>
    <n v="714"/>
    <x v="1"/>
    <n v="12.6"/>
    <n v="17.2"/>
    <x v="1"/>
    <x v="598"/>
    <x v="2"/>
  </r>
  <r>
    <s v="CL100763"/>
    <x v="2"/>
    <s v="Tier 1"/>
    <x v="1"/>
    <n v="74087"/>
    <x v="344"/>
    <n v="240"/>
    <n v="182721"/>
    <n v="764"/>
    <x v="1"/>
    <n v="21.6"/>
    <n v="28.6"/>
    <x v="2"/>
    <x v="599"/>
    <x v="3"/>
  </r>
  <r>
    <s v="CL100764"/>
    <x v="4"/>
    <s v="Tier 3"/>
    <x v="4"/>
    <n v="597656"/>
    <x v="548"/>
    <n v="300"/>
    <n v="201137"/>
    <n v="719"/>
    <x v="0"/>
    <n v="6"/>
    <n v="18.100000000000001"/>
    <x v="2"/>
    <x v="530"/>
    <x v="2"/>
  </r>
  <r>
    <s v="CL100765"/>
    <x v="0"/>
    <s v="Tier 1"/>
    <x v="0"/>
    <n v="748859"/>
    <x v="87"/>
    <n v="300"/>
    <n v="62758"/>
    <n v="685"/>
    <x v="0"/>
    <n v="2"/>
    <n v="45.6"/>
    <x v="1"/>
    <x v="600"/>
    <x v="0"/>
  </r>
  <r>
    <s v="CL100766"/>
    <x v="2"/>
    <s v="Tier 2"/>
    <x v="0"/>
    <n v="346102"/>
    <x v="549"/>
    <n v="36"/>
    <n v="164668"/>
    <n v="712"/>
    <x v="0"/>
    <n v="8.9"/>
    <n v="44.2"/>
    <x v="1"/>
    <x v="601"/>
    <x v="2"/>
  </r>
  <r>
    <s v="CL100767"/>
    <x v="5"/>
    <s v="Tier 1"/>
    <x v="1"/>
    <n v="300064"/>
    <x v="550"/>
    <n v="120"/>
    <n v="44374"/>
    <n v="687"/>
    <x v="0"/>
    <n v="18.7"/>
    <n v="30.7"/>
    <x v="1"/>
    <x v="602"/>
    <x v="0"/>
  </r>
  <r>
    <s v="CL100768"/>
    <x v="4"/>
    <s v="Tier 2"/>
    <x v="0"/>
    <n v="256514"/>
    <x v="551"/>
    <n v="240"/>
    <n v="146686"/>
    <n v="757"/>
    <x v="1"/>
    <n v="13.8"/>
    <n v="22.2"/>
    <x v="2"/>
    <x v="603"/>
    <x v="3"/>
  </r>
  <r>
    <s v="CL100769"/>
    <x v="2"/>
    <s v="Tier 1"/>
    <x v="2"/>
    <n v="147180"/>
    <x v="552"/>
    <n v="36"/>
    <n v="31775"/>
    <n v="725"/>
    <x v="1"/>
    <n v="20.399999999999999"/>
    <n v="23.2"/>
    <x v="1"/>
    <x v="604"/>
    <x v="2"/>
  </r>
  <r>
    <s v="CL100770"/>
    <x v="4"/>
    <s v="Tier 2"/>
    <x v="4"/>
    <n v="440928"/>
    <x v="303"/>
    <n v="12"/>
    <n v="55388"/>
    <n v="653"/>
    <x v="0"/>
    <n v="24"/>
    <n v="24.5"/>
    <x v="1"/>
    <x v="605"/>
    <x v="0"/>
  </r>
  <r>
    <s v="CL100771"/>
    <x v="2"/>
    <s v="Tier 1"/>
    <x v="3"/>
    <n v="606891"/>
    <x v="66"/>
    <n v="60"/>
    <n v="151800"/>
    <n v="687"/>
    <x v="0"/>
    <n v="19.8"/>
    <n v="37.1"/>
    <x v="3"/>
    <x v="606"/>
    <x v="0"/>
  </r>
  <r>
    <s v="CL100772"/>
    <x v="4"/>
    <s v="Tier 2"/>
    <x v="4"/>
    <n v="38872"/>
    <x v="553"/>
    <n v="240"/>
    <n v="49029"/>
    <n v="701"/>
    <x v="0"/>
    <n v="15.1"/>
    <n v="26.1"/>
    <x v="1"/>
    <x v="607"/>
    <x v="2"/>
  </r>
  <r>
    <s v="CL100773"/>
    <x v="0"/>
    <s v="Tier 3"/>
    <x v="1"/>
    <n v="277872"/>
    <x v="554"/>
    <n v="36"/>
    <n v="111981"/>
    <n v="596"/>
    <x v="1"/>
    <n v="12.3"/>
    <n v="42.3"/>
    <x v="0"/>
    <x v="15"/>
    <x v="1"/>
  </r>
  <r>
    <s v="CL100774"/>
    <x v="2"/>
    <s v="Tier 1"/>
    <x v="4"/>
    <n v="362246"/>
    <x v="555"/>
    <n v="12"/>
    <n v="81639"/>
    <n v="775"/>
    <x v="0"/>
    <n v="1"/>
    <n v="45.8"/>
    <x v="1"/>
    <x v="608"/>
    <x v="3"/>
  </r>
  <r>
    <s v="CL100775"/>
    <x v="4"/>
    <s v="Tier 1"/>
    <x v="0"/>
    <n v="493535"/>
    <x v="556"/>
    <n v="48"/>
    <n v="142010"/>
    <n v="831"/>
    <x v="2"/>
    <n v="24.6"/>
    <n v="21.4"/>
    <x v="3"/>
    <x v="503"/>
    <x v="3"/>
  </r>
  <r>
    <s v="CL100776"/>
    <x v="4"/>
    <s v="Tier 1"/>
    <x v="0"/>
    <n v="389193"/>
    <x v="386"/>
    <n v="36"/>
    <n v="173717"/>
    <n v="698"/>
    <x v="1"/>
    <n v="9.6"/>
    <n v="30.4"/>
    <x v="1"/>
    <x v="609"/>
    <x v="0"/>
  </r>
  <r>
    <s v="CL100777"/>
    <x v="3"/>
    <s v="Tier 2"/>
    <x v="2"/>
    <n v="90774"/>
    <x v="182"/>
    <n v="120"/>
    <n v="59105"/>
    <n v="741"/>
    <x v="0"/>
    <n v="3.8"/>
    <n v="11.8"/>
    <x v="0"/>
    <x v="610"/>
    <x v="2"/>
  </r>
  <r>
    <s v="CL100778"/>
    <x v="3"/>
    <s v="Tier 2"/>
    <x v="1"/>
    <n v="393518"/>
    <x v="557"/>
    <n v="120"/>
    <n v="172740"/>
    <n v="777"/>
    <x v="0"/>
    <n v="16.7"/>
    <n v="16"/>
    <x v="0"/>
    <x v="599"/>
    <x v="3"/>
  </r>
  <r>
    <s v="CL100779"/>
    <x v="3"/>
    <s v="Tier 2"/>
    <x v="2"/>
    <n v="203522"/>
    <x v="558"/>
    <n v="120"/>
    <n v="175032"/>
    <n v="624"/>
    <x v="3"/>
    <n v="7.1"/>
    <n v="24.5"/>
    <x v="1"/>
    <x v="611"/>
    <x v="1"/>
  </r>
  <r>
    <s v="CL100780"/>
    <x v="3"/>
    <s v="Tier 1"/>
    <x v="3"/>
    <n v="225357"/>
    <x v="559"/>
    <n v="240"/>
    <n v="154519"/>
    <n v="758"/>
    <x v="0"/>
    <n v="14.6"/>
    <n v="16.2"/>
    <x v="1"/>
    <x v="612"/>
    <x v="3"/>
  </r>
  <r>
    <s v="CL100781"/>
    <x v="0"/>
    <s v="Tier 1"/>
    <x v="3"/>
    <n v="417672"/>
    <x v="372"/>
    <n v="300"/>
    <n v="170429"/>
    <n v="623"/>
    <x v="0"/>
    <n v="14.7"/>
    <n v="43.1"/>
    <x v="1"/>
    <x v="173"/>
    <x v="1"/>
  </r>
  <r>
    <s v="CL100782"/>
    <x v="4"/>
    <s v="Tier 2"/>
    <x v="6"/>
    <n v="70942"/>
    <x v="560"/>
    <n v="300"/>
    <n v="130739"/>
    <n v="657"/>
    <x v="0"/>
    <n v="11.1"/>
    <n v="14.3"/>
    <x v="1"/>
    <x v="109"/>
    <x v="0"/>
  </r>
  <r>
    <s v="CL100783"/>
    <x v="4"/>
    <s v="Tier 1"/>
    <x v="1"/>
    <n v="542977"/>
    <x v="536"/>
    <n v="60"/>
    <n v="79796"/>
    <n v="757"/>
    <x v="3"/>
    <n v="20.9"/>
    <n v="26.2"/>
    <x v="3"/>
    <x v="375"/>
    <x v="3"/>
  </r>
  <r>
    <s v="CL100784"/>
    <x v="4"/>
    <s v="Tier 3"/>
    <x v="0"/>
    <n v="562564"/>
    <x v="166"/>
    <n v="36"/>
    <n v="43804"/>
    <n v="582"/>
    <x v="1"/>
    <n v="6.6"/>
    <n v="32.200000000000003"/>
    <x v="3"/>
    <x v="613"/>
    <x v="1"/>
  </r>
  <r>
    <s v="CL100785"/>
    <x v="7"/>
    <s v="Tier 1"/>
    <x v="4"/>
    <n v="514565"/>
    <x v="500"/>
    <n v="48"/>
    <n v="155732"/>
    <n v="793"/>
    <x v="1"/>
    <n v="11.2"/>
    <n v="35.700000000000003"/>
    <x v="1"/>
    <x v="274"/>
    <x v="3"/>
  </r>
  <r>
    <s v="CL100786"/>
    <x v="0"/>
    <s v="Tier 2"/>
    <x v="0"/>
    <n v="527552"/>
    <x v="327"/>
    <n v="36"/>
    <n v="173698"/>
    <n v="653"/>
    <x v="3"/>
    <n v="13.4"/>
    <n v="23.3"/>
    <x v="0"/>
    <x v="614"/>
    <x v="0"/>
  </r>
  <r>
    <s v="CL100787"/>
    <x v="0"/>
    <s v="Tier 1"/>
    <x v="4"/>
    <n v="631256"/>
    <x v="405"/>
    <n v="60"/>
    <n v="187204"/>
    <n v="630"/>
    <x v="3"/>
    <n v="16.600000000000001"/>
    <n v="42.8"/>
    <x v="0"/>
    <x v="615"/>
    <x v="1"/>
  </r>
  <r>
    <s v="CL100788"/>
    <x v="0"/>
    <s v="Tier 1"/>
    <x v="2"/>
    <n v="418089"/>
    <x v="335"/>
    <n v="12"/>
    <n v="35951"/>
    <n v="646"/>
    <x v="3"/>
    <n v="19.600000000000001"/>
    <n v="30.7"/>
    <x v="3"/>
    <x v="437"/>
    <x v="1"/>
  </r>
  <r>
    <s v="CL100789"/>
    <x v="6"/>
    <s v="Tier 2"/>
    <x v="4"/>
    <n v="595504"/>
    <x v="561"/>
    <n v="60"/>
    <n v="165521"/>
    <n v="672"/>
    <x v="0"/>
    <n v="9.9"/>
    <n v="25.6"/>
    <x v="1"/>
    <x v="616"/>
    <x v="0"/>
  </r>
  <r>
    <s v="CL100790"/>
    <x v="4"/>
    <s v="Tier 2"/>
    <x v="0"/>
    <n v="744804"/>
    <x v="481"/>
    <n v="120"/>
    <n v="47065"/>
    <n v="755"/>
    <x v="0"/>
    <n v="16.2"/>
    <n v="10.7"/>
    <x v="1"/>
    <x v="548"/>
    <x v="3"/>
  </r>
  <r>
    <s v="CL100791"/>
    <x v="0"/>
    <s v="Tier 3"/>
    <x v="0"/>
    <n v="351184"/>
    <x v="449"/>
    <n v="240"/>
    <n v="129503"/>
    <n v="724"/>
    <x v="1"/>
    <n v="3.8"/>
    <n v="26.6"/>
    <x v="1"/>
    <x v="617"/>
    <x v="2"/>
  </r>
  <r>
    <s v="CL100792"/>
    <x v="0"/>
    <s v="Tier 1"/>
    <x v="1"/>
    <n v="550932"/>
    <x v="503"/>
    <n v="12"/>
    <n v="133072"/>
    <n v="586"/>
    <x v="1"/>
    <n v="23.3"/>
    <n v="40.799999999999997"/>
    <x v="0"/>
    <x v="506"/>
    <x v="1"/>
  </r>
  <r>
    <s v="CL100793"/>
    <x v="3"/>
    <s v="Tier 1"/>
    <x v="0"/>
    <n v="67021"/>
    <x v="562"/>
    <n v="240"/>
    <n v="168202"/>
    <n v="848"/>
    <x v="0"/>
    <n v="9.6"/>
    <n v="32.6"/>
    <x v="1"/>
    <x v="618"/>
    <x v="3"/>
  </r>
  <r>
    <s v="CL100794"/>
    <x v="4"/>
    <s v="Tier 2"/>
    <x v="6"/>
    <n v="697485"/>
    <x v="563"/>
    <n v="120"/>
    <n v="117360"/>
    <n v="583"/>
    <x v="0"/>
    <n v="18.2"/>
    <n v="41.3"/>
    <x v="1"/>
    <x v="619"/>
    <x v="1"/>
  </r>
  <r>
    <s v="CL100795"/>
    <x v="5"/>
    <s v="Tier 2"/>
    <x v="0"/>
    <n v="465115"/>
    <x v="7"/>
    <n v="24"/>
    <n v="90287"/>
    <n v="717"/>
    <x v="1"/>
    <n v="0.5"/>
    <n v="27.8"/>
    <x v="1"/>
    <x v="620"/>
    <x v="2"/>
  </r>
  <r>
    <s v="CL100796"/>
    <x v="6"/>
    <s v="Tier 1"/>
    <x v="0"/>
    <n v="47291"/>
    <x v="564"/>
    <n v="60"/>
    <n v="210774"/>
    <n v="810"/>
    <x v="1"/>
    <n v="5.0999999999999996"/>
    <n v="12.7"/>
    <x v="0"/>
    <x v="62"/>
    <x v="3"/>
  </r>
  <r>
    <s v="CL100797"/>
    <x v="0"/>
    <s v="Tier 1"/>
    <x v="0"/>
    <n v="433276"/>
    <x v="45"/>
    <n v="60"/>
    <n v="196065"/>
    <n v="667"/>
    <x v="0"/>
    <n v="12.2"/>
    <n v="8.5"/>
    <x v="1"/>
    <x v="40"/>
    <x v="0"/>
  </r>
  <r>
    <s v="CL100798"/>
    <x v="3"/>
    <s v="Tier 1"/>
    <x v="4"/>
    <n v="399754"/>
    <x v="467"/>
    <n v="48"/>
    <n v="190947"/>
    <n v="596"/>
    <x v="0"/>
    <n v="22"/>
    <n v="20.100000000000001"/>
    <x v="1"/>
    <x v="621"/>
    <x v="1"/>
  </r>
  <r>
    <s v="CL100799"/>
    <x v="6"/>
    <s v="Tier 3"/>
    <x v="4"/>
    <n v="308664"/>
    <x v="565"/>
    <n v="36"/>
    <n v="165126"/>
    <n v="631"/>
    <x v="0"/>
    <n v="13.2"/>
    <n v="35.9"/>
    <x v="1"/>
    <x v="1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7E3578-86F5-4CAE-8067-CF92142F64D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G3:H14" firstHeaderRow="1" firstDataRow="1" firstDataCol="1"/>
  <pivotFields count="17">
    <pivotField dataField="1" showAll="0"/>
    <pivotField axis="axisRow" showAll="0" sortType="ascending" defaultSubtotal="0">
      <items count="10">
        <item x="2"/>
        <item x="3"/>
        <item x="5"/>
        <item x="1"/>
        <item x="8"/>
        <item x="6"/>
        <item x="4"/>
        <item x="9"/>
        <item x="0"/>
        <item x="7"/>
      </items>
      <autoSortScope>
        <pivotArea dataOnly="0" outline="0" fieldPosition="0">
          <references count="1">
            <reference field="4294967294" count="1" selected="0">
              <x v="0"/>
            </reference>
          </references>
        </pivotArea>
      </autoSortScope>
    </pivotField>
    <pivotField showAll="0"/>
    <pivotField showAll="0">
      <items count="8">
        <item x="1"/>
        <item x="5"/>
        <item x="2"/>
        <item x="3"/>
        <item x="6"/>
        <item x="0"/>
        <item x="4"/>
        <item t="default"/>
      </items>
    </pivotField>
    <pivotField showAll="0"/>
    <pivotField showAll="0"/>
    <pivotField showAll="0"/>
    <pivotField showAll="0"/>
    <pivotField showAll="0"/>
    <pivotField showAll="0">
      <items count="5">
        <item x="3"/>
        <item x="0"/>
        <item x="1"/>
        <item x="2"/>
        <item t="default"/>
      </items>
    </pivotField>
    <pivotField showAll="0"/>
    <pivotField showAll="0"/>
    <pivotField showAll="0">
      <items count="5">
        <item x="2"/>
        <item x="1"/>
        <item x="3"/>
        <item x="0"/>
        <item t="default"/>
      </items>
    </pivotField>
    <pivotField showAll="0">
      <items count="1245">
        <item m="1" x="904"/>
        <item m="1" x="847"/>
        <item m="1" x="1033"/>
        <item m="1" x="728"/>
        <item m="1" x="835"/>
        <item m="1" x="926"/>
        <item m="1" x="655"/>
        <item m="1" x="946"/>
        <item m="1" x="972"/>
        <item m="1" x="644"/>
        <item m="1" x="869"/>
        <item m="1" x="664"/>
        <item m="1" x="1100"/>
        <item m="1" x="984"/>
        <item m="1" x="737"/>
        <item m="1" x="711"/>
        <item m="1" x="860"/>
        <item m="1" x="643"/>
        <item m="1" x="1227"/>
        <item m="1" x="1069"/>
        <item m="1" x="800"/>
        <item m="1" x="650"/>
        <item m="1" x="1076"/>
        <item m="1" x="822"/>
        <item m="1" x="703"/>
        <item m="1" x="1049"/>
        <item m="1" x="1166"/>
        <item m="1" x="1206"/>
        <item m="1" x="1176"/>
        <item m="1" x="852"/>
        <item m="1" x="950"/>
        <item m="1" x="1106"/>
        <item m="1" x="999"/>
        <item m="1" x="698"/>
        <item m="1" x="832"/>
        <item m="1" x="1202"/>
        <item m="1" x="964"/>
        <item m="1" x="925"/>
        <item m="1" x="1155"/>
        <item m="1" x="668"/>
        <item m="1" x="689"/>
        <item m="1" x="962"/>
        <item m="1" x="693"/>
        <item m="1" x="1066"/>
        <item m="1" x="1079"/>
        <item m="1" x="922"/>
        <item m="1" x="801"/>
        <item m="1" x="706"/>
        <item m="1" x="1135"/>
        <item m="1" x="1152"/>
        <item m="1" x="724"/>
        <item m="1" x="1141"/>
        <item m="1" x="882"/>
        <item m="1" x="627"/>
        <item m="1" x="836"/>
        <item m="1" x="1231"/>
        <item m="1" x="1213"/>
        <item m="1" x="953"/>
        <item m="1" x="1235"/>
        <item m="1" x="653"/>
        <item m="1" x="1019"/>
        <item m="1" x="1122"/>
        <item m="1" x="907"/>
        <item m="1" x="771"/>
        <item m="1" x="815"/>
        <item m="1" x="1058"/>
        <item m="1" x="625"/>
        <item m="1" x="1095"/>
        <item m="1" x="1030"/>
        <item m="1" x="646"/>
        <item m="1" x="820"/>
        <item m="1" x="812"/>
        <item m="1" x="633"/>
        <item m="1" x="1215"/>
        <item m="1" x="936"/>
        <item m="1" x="862"/>
        <item m="1" x="730"/>
        <item m="1" x="1031"/>
        <item m="1" x="1184"/>
        <item m="1" x="1172"/>
        <item m="1" x="1200"/>
        <item m="1" x="1115"/>
        <item m="1" x="642"/>
        <item m="1" x="853"/>
        <item m="1" x="1032"/>
        <item m="1" x="770"/>
        <item m="1" x="818"/>
        <item m="1" x="1209"/>
        <item m="1" x="940"/>
        <item m="1" x="796"/>
        <item m="1" x="687"/>
        <item m="1" x="987"/>
        <item m="1" x="917"/>
        <item m="1" x="849"/>
        <item m="1" x="635"/>
        <item m="1" x="877"/>
        <item m="1" x="1089"/>
        <item m="1" x="1161"/>
        <item m="1" x="1232"/>
        <item m="1" x="1015"/>
        <item m="1" x="1027"/>
        <item m="1" x="626"/>
        <item m="1" x="887"/>
        <item m="1" x="813"/>
        <item m="1" x="636"/>
        <item m="1" x="1096"/>
        <item m="1" x="1062"/>
        <item m="1" x="797"/>
        <item m="1" x="632"/>
        <item m="1" x="956"/>
        <item m="1" x="761"/>
        <item m="1" x="720"/>
        <item m="1" x="844"/>
        <item m="1" x="1114"/>
        <item m="1" x="971"/>
        <item m="1" x="981"/>
        <item m="1" x="673"/>
        <item m="1" x="1167"/>
        <item m="1" x="744"/>
        <item m="1" x="919"/>
        <item m="1" x="1211"/>
        <item m="1" x="1177"/>
        <item m="1" x="810"/>
        <item m="1" x="871"/>
        <item m="1" x="1042"/>
        <item m="1" x="935"/>
        <item m="1" x="1021"/>
        <item m="1" x="648"/>
        <item m="1" x="752"/>
        <item m="1" x="856"/>
        <item m="1" x="867"/>
        <item m="1" x="657"/>
        <item m="1" x="760"/>
        <item m="1" x="697"/>
        <item m="1" x="993"/>
        <item m="1" x="772"/>
        <item m="1" x="1065"/>
        <item m="1" x="997"/>
        <item m="1" x="671"/>
        <item m="1" x="1099"/>
        <item m="1" x="1145"/>
        <item m="1" x="923"/>
        <item m="1" x="702"/>
        <item m="1" x="874"/>
        <item m="1" x="1050"/>
        <item m="1" x="1128"/>
        <item m="1" x="949"/>
        <item m="1" x="876"/>
        <item m="1" x="830"/>
        <item m="1" x="928"/>
        <item m="1" x="1134"/>
        <item m="1" x="1203"/>
        <item m="1" x="930"/>
        <item m="1" x="1092"/>
        <item m="1" x="1047"/>
        <item m="1" x="661"/>
        <item m="1" x="1199"/>
        <item m="1" x="1168"/>
        <item m="1" x="777"/>
        <item m="1" x="1067"/>
        <item m="1" x="767"/>
        <item m="1" x="1084"/>
        <item m="1" x="1179"/>
        <item m="1" x="1116"/>
        <item m="1" x="937"/>
        <item m="1" x="809"/>
        <item m="1" x="991"/>
        <item m="1" x="1212"/>
        <item m="1" x="1162"/>
        <item m="1" x="1035"/>
        <item m="1" x="1233"/>
        <item m="1" x="959"/>
        <item m="1" x="1137"/>
        <item m="1" x="1113"/>
        <item m="1" x="732"/>
        <item m="1" x="1150"/>
        <item m="1" x="680"/>
        <item m="1" x="747"/>
        <item m="1" x="1104"/>
        <item m="1" x="988"/>
        <item m="1" x="665"/>
        <item m="1" x="628"/>
        <item m="1" x="762"/>
        <item m="1" x="1098"/>
        <item m="1" x="881"/>
        <item m="1" x="785"/>
        <item m="1" x="966"/>
        <item m="1" x="691"/>
        <item m="1" x="990"/>
        <item m="1" x="786"/>
        <item m="1" x="978"/>
        <item m="1" x="1025"/>
        <item m="1" x="1054"/>
        <item m="1" x="1055"/>
        <item m="1" x="1239"/>
        <item m="1" x="759"/>
        <item m="1" x="749"/>
        <item m="1" x="998"/>
        <item m="1" x="712"/>
        <item m="1" x="909"/>
        <item m="1" x="1226"/>
        <item m="1" x="1157"/>
        <item m="1" x="1214"/>
        <item m="1" x="738"/>
        <item m="1" x="942"/>
        <item m="1" x="637"/>
        <item m="1" x="788"/>
        <item m="1" x="1223"/>
        <item m="1" x="901"/>
        <item m="1" x="745"/>
        <item m="1" x="885"/>
        <item m="1" x="1023"/>
        <item m="1" x="1185"/>
        <item m="1" x="641"/>
        <item m="1" x="851"/>
        <item m="1" x="883"/>
        <item m="1" x="802"/>
        <item m="1" x="1208"/>
        <item m="1" x="803"/>
        <item m="1" x="939"/>
        <item m="1" x="986"/>
        <item m="1" x="669"/>
        <item m="1" x="954"/>
        <item m="1" x="1195"/>
        <item m="1" x="927"/>
        <item m="1" x="781"/>
        <item m="1" x="769"/>
        <item m="1" x="705"/>
        <item m="1" x="829"/>
        <item m="1" x="787"/>
        <item m="1" x="938"/>
        <item m="1" x="914"/>
        <item m="1" x="980"/>
        <item m="1" x="753"/>
        <item m="1" x="1020"/>
        <item m="1" x="1159"/>
        <item m="1" x="1153"/>
        <item m="1" x="842"/>
        <item m="1" x="794"/>
        <item m="1" x="731"/>
        <item m="1" x="947"/>
        <item m="1" x="780"/>
        <item m="1" x="735"/>
        <item m="1" x="841"/>
        <item m="1" x="1072"/>
        <item m="1" x="902"/>
        <item m="1" x="1007"/>
        <item m="1" x="654"/>
        <item m="1" x="970"/>
        <item m="1" x="729"/>
        <item m="1" x="920"/>
        <item m="1" x="1127"/>
        <item m="1" x="1026"/>
        <item m="1" x="828"/>
        <item m="1" x="808"/>
        <item m="1" x="931"/>
        <item m="1" x="1044"/>
        <item m="1" x="831"/>
        <item m="1" x="741"/>
        <item m="1" x="1164"/>
        <item m="1" x="1222"/>
        <item m="1" x="765"/>
        <item m="1" x="977"/>
        <item m="1" x="1140"/>
        <item m="1" x="1238"/>
        <item m="1" x="1008"/>
        <item m="1" x="952"/>
        <item m="1" x="1220"/>
        <item m="1" x="1068"/>
        <item m="1" x="975"/>
        <item m="1" x="1105"/>
        <item m="1" x="1142"/>
        <item m="1" x="889"/>
        <item m="1" x="776"/>
        <item m="1" x="1119"/>
        <item m="1" x="1218"/>
        <item m="1" x="652"/>
        <item m="1" x="945"/>
        <item m="1" x="779"/>
        <item m="1" x="722"/>
        <item m="1" x="795"/>
        <item m="1" x="911"/>
        <item m="1" x="1009"/>
        <item m="1" x="1039"/>
        <item m="1" x="868"/>
        <item m="1" x="1063"/>
        <item m="1" x="766"/>
        <item m="1" x="696"/>
        <item m="1" x="1130"/>
        <item m="1" x="630"/>
        <item m="1" x="1081"/>
        <item m="1" x="681"/>
        <item m="1" x="915"/>
        <item m="1" x="1059"/>
        <item m="1" x="1052"/>
        <item m="1" x="1175"/>
        <item m="1" x="825"/>
        <item m="1" x="740"/>
        <item m="1" x="965"/>
        <item m="1" x="1075"/>
        <item m="1" x="699"/>
        <item m="1" x="1012"/>
        <item m="1" x="1077"/>
        <item m="1" x="684"/>
        <item m="1" x="1229"/>
        <item m="1" x="929"/>
        <item m="1" x="899"/>
        <item m="1" x="895"/>
        <item m="1" x="961"/>
        <item m="1" x="1088"/>
        <item m="1" x="1103"/>
        <item m="1" x="1139"/>
        <item m="1" x="1107"/>
        <item m="1" x="1085"/>
        <item m="1" x="1174"/>
        <item m="1" x="754"/>
        <item m="1" x="817"/>
        <item m="1" x="897"/>
        <item m="1" x="1011"/>
        <item m="1" x="1080"/>
        <item m="1" x="963"/>
        <item m="1" x="1224"/>
        <item m="1" x="1192"/>
        <item m="1" x="1228"/>
        <item m="1" x="985"/>
        <item m="1" x="1112"/>
        <item m="1" x="967"/>
        <item m="1" x="639"/>
        <item m="1" x="1041"/>
        <item m="1" x="1045"/>
        <item m="1" x="886"/>
        <item m="1" x="1242"/>
        <item m="1" x="1196"/>
        <item m="1" x="1094"/>
        <item m="1" x="807"/>
        <item m="1" x="898"/>
        <item m="1" x="718"/>
        <item m="1" x="924"/>
        <item m="1" x="670"/>
        <item m="1" x="743"/>
        <item m="1" x="1236"/>
        <item m="1" x="1198"/>
        <item m="1" x="855"/>
        <item m="1" x="1109"/>
        <item m="1" x="805"/>
        <item m="1" x="1102"/>
        <item m="1" x="1036"/>
        <item m="1" x="723"/>
        <item m="1" x="790"/>
        <item m="1" x="1022"/>
        <item m="1" x="934"/>
        <item m="1" x="1132"/>
        <item m="1" x="1160"/>
        <item m="1" x="861"/>
        <item m="1" x="1001"/>
        <item m="1" x="748"/>
        <item m="1" x="1193"/>
        <item m="1" x="903"/>
        <item m="1" x="733"/>
        <item m="1" x="1043"/>
        <item m="1" x="944"/>
        <item m="1" x="857"/>
        <item m="1" x="715"/>
        <item m="1" x="756"/>
        <item m="1" x="908"/>
        <item m="1" x="1165"/>
        <item m="1" x="792"/>
        <item m="1" x="1002"/>
        <item m="1" x="811"/>
        <item m="1" x="1064"/>
        <item m="1" x="1004"/>
        <item m="1" x="1201"/>
        <item m="1" x="816"/>
        <item m="1" x="1189"/>
        <item m="1" x="707"/>
        <item m="1" x="700"/>
        <item m="1" x="719"/>
        <item m="1" x="846"/>
        <item m="1" x="941"/>
        <item m="1" x="736"/>
        <item m="1" x="838"/>
        <item m="1" x="865"/>
        <item m="1" x="717"/>
        <item m="1" x="1188"/>
        <item m="1" x="782"/>
        <item m="1" x="658"/>
        <item m="1" x="674"/>
        <item m="1" x="1091"/>
        <item m="1" x="660"/>
        <item m="1" x="708"/>
        <item m="1" x="716"/>
        <item m="1" x="1148"/>
        <item m="1" x="774"/>
        <item m="1" x="1093"/>
        <item m="1" x="1038"/>
        <item m="1" x="751"/>
        <item m="1" x="894"/>
        <item m="1" x="1194"/>
        <item m="1" x="974"/>
        <item m="1" x="798"/>
        <item m="1" x="1163"/>
        <item m="1" x="659"/>
        <item m="1" x="725"/>
        <item m="1" x="1083"/>
        <item m="1" x="634"/>
        <item m="1" x="662"/>
        <item m="1" x="1219"/>
        <item m="1" x="690"/>
        <item m="1" x="1169"/>
        <item m="1" x="758"/>
        <item m="1" x="1171"/>
        <item m="1" x="638"/>
        <item m="1" x="896"/>
        <item m="1" x="709"/>
        <item m="1" x="1056"/>
        <item m="1" x="695"/>
        <item m="1" x="685"/>
        <item m="1" x="1073"/>
        <item m="1" x="682"/>
        <item m="1" x="1017"/>
        <item m="1" x="667"/>
        <item m="1" x="1111"/>
        <item m="1" x="976"/>
        <item m="1" x="742"/>
        <item m="1" x="921"/>
        <item m="1" x="1000"/>
        <item m="1" x="955"/>
        <item m="1" x="710"/>
        <item m="1" x="1010"/>
        <item m="1" x="1133"/>
        <item m="1" x="845"/>
        <item m="1" x="834"/>
        <item m="1" x="726"/>
        <item m="1" x="676"/>
        <item m="1" x="688"/>
        <item m="1" x="1136"/>
        <item m="1" x="789"/>
        <item m="1" x="1034"/>
        <item m="1" x="739"/>
        <item m="1" x="1053"/>
        <item m="1" x="804"/>
        <item m="1" x="833"/>
        <item m="1" x="992"/>
        <item m="1" x="1207"/>
        <item m="1" x="1097"/>
        <item m="1" x="1182"/>
        <item m="1" x="905"/>
        <item m="1" x="888"/>
        <item m="1" x="837"/>
        <item m="1" x="631"/>
        <item m="1" x="890"/>
        <item m="1" x="994"/>
        <item m="1" x="1074"/>
        <item m="1" x="622"/>
        <item m="1" x="900"/>
        <item m="1" x="783"/>
        <item m="1" x="1110"/>
        <item m="1" x="763"/>
        <item m="1" x="1146"/>
        <item m="1" x="1048"/>
        <item m="1" x="1183"/>
        <item m="1" x="1078"/>
        <item m="1" x="1071"/>
        <item m="1" x="1057"/>
        <item m="1" x="734"/>
        <item m="1" x="677"/>
        <item m="1" x="1028"/>
        <item m="1" x="623"/>
        <item m="1" x="1090"/>
        <item m="1" x="1241"/>
        <item m="1" x="640"/>
        <item m="1" x="1225"/>
        <item m="1" x="679"/>
        <item m="1" x="823"/>
        <item m="1" x="1187"/>
        <item m="1" x="875"/>
        <item m="1" x="854"/>
        <item m="1" x="1087"/>
        <item m="1" x="1204"/>
        <item m="1" x="629"/>
        <item m="1" x="912"/>
        <item m="1" x="746"/>
        <item m="1" x="1217"/>
        <item m="1" x="893"/>
        <item m="1" x="1051"/>
        <item m="1" x="1197"/>
        <item m="1" x="1191"/>
        <item m="1" x="675"/>
        <item m="1" x="1040"/>
        <item m="1" x="960"/>
        <item m="1" x="649"/>
        <item m="1" x="1018"/>
        <item m="1" x="1101"/>
        <item m="1" x="979"/>
        <item m="1" x="791"/>
        <item m="1" x="1060"/>
        <item m="1" x="969"/>
        <item m="1" x="1149"/>
        <item m="1" x="1186"/>
        <item m="1" x="1180"/>
        <item m="1" x="843"/>
        <item m="1" x="651"/>
        <item m="1" x="773"/>
        <item m="1" x="848"/>
        <item m="1" x="1151"/>
        <item m="1" x="694"/>
        <item m="1" x="870"/>
        <item m="1" x="1156"/>
        <item m="1" x="1046"/>
        <item m="1" x="878"/>
        <item m="1" x="1006"/>
        <item m="1" x="757"/>
        <item m="1" x="995"/>
        <item m="1" x="1178"/>
        <item m="1" x="755"/>
        <item m="1" x="1234"/>
        <item m="1" x="1082"/>
        <item m="1" x="996"/>
        <item m="1" x="983"/>
        <item m="1" x="891"/>
        <item m="1" x="727"/>
        <item m="1" x="840"/>
        <item m="1" x="943"/>
        <item m="1" x="1014"/>
        <item m="1" x="858"/>
        <item m="1" x="721"/>
        <item m="1" x="839"/>
        <item m="1" x="821"/>
        <item m="1" x="784"/>
        <item m="1" x="692"/>
        <item m="1" x="863"/>
        <item m="1" x="932"/>
        <item m="1" x="824"/>
        <item m="1" x="799"/>
        <item m="1" x="624"/>
        <item m="1" x="1129"/>
        <item m="1" x="989"/>
        <item m="1" x="1190"/>
        <item m="1" x="826"/>
        <item m="1" x="918"/>
        <item m="1" x="775"/>
        <item m="1" x="968"/>
        <item m="1" x="1181"/>
        <item m="1" x="704"/>
        <item m="1" x="1147"/>
        <item m="1" x="982"/>
        <item m="1" x="1123"/>
        <item m="1" x="819"/>
        <item m="1" x="778"/>
        <item m="1" x="957"/>
        <item m="1" x="666"/>
        <item m="1" x="793"/>
        <item m="1" x="1005"/>
        <item m="1" x="892"/>
        <item m="1" x="645"/>
        <item m="1" x="1173"/>
        <item m="1" x="1121"/>
        <item m="1" x="656"/>
        <item m="1" x="973"/>
        <item m="1" x="814"/>
        <item m="1" x="872"/>
        <item m="1" x="1143"/>
        <item m="1" x="1003"/>
        <item m="1" x="1230"/>
        <item m="1" x="951"/>
        <item m="1" x="859"/>
        <item m="1" x="1024"/>
        <item m="1" x="714"/>
        <item m="1" x="672"/>
        <item m="1" x="1131"/>
        <item m="1" x="768"/>
        <item m="1" x="663"/>
        <item m="1" x="750"/>
        <item m="1" x="864"/>
        <item m="1" x="647"/>
        <item m="1" x="916"/>
        <item m="1" x="1086"/>
        <item m="1" x="1221"/>
        <item m="1" x="1243"/>
        <item m="1" x="1158"/>
        <item m="1" x="1205"/>
        <item m="1" x="683"/>
        <item m="1" x="910"/>
        <item m="1" x="678"/>
        <item m="1" x="686"/>
        <item m="1" x="1154"/>
        <item m="1" x="1138"/>
        <item m="1" x="1124"/>
        <item m="1" x="880"/>
        <item m="1" x="1126"/>
        <item m="1" x="958"/>
        <item m="1" x="827"/>
        <item m="1" x="713"/>
        <item m="1" x="1170"/>
        <item m="1" x="1118"/>
        <item m="1" x="1037"/>
        <item m="1" x="1125"/>
        <item m="1" x="1013"/>
        <item m="1" x="906"/>
        <item m="1" x="1240"/>
        <item m="1" x="873"/>
        <item m="1" x="1061"/>
        <item m="1" x="913"/>
        <item m="1" x="806"/>
        <item m="1" x="1144"/>
        <item m="1" x="1237"/>
        <item m="1" x="933"/>
        <item m="1" x="884"/>
        <item m="1" x="1070"/>
        <item m="1" x="1108"/>
        <item m="1" x="1016"/>
        <item m="1" x="1029"/>
        <item m="1" x="1216"/>
        <item m="1" x="879"/>
        <item m="1" x="764"/>
        <item m="1" x="1210"/>
        <item m="1" x="850"/>
        <item m="1" x="701"/>
        <item m="1" x="1117"/>
        <item m="1" x="1120"/>
        <item m="1" x="948"/>
        <item m="1" x="866"/>
        <item x="282"/>
        <item x="225"/>
        <item x="411"/>
        <item x="106"/>
        <item x="213"/>
        <item x="304"/>
        <item x="33"/>
        <item x="324"/>
        <item x="350"/>
        <item x="22"/>
        <item x="247"/>
        <item x="42"/>
        <item x="478"/>
        <item x="362"/>
        <item x="115"/>
        <item x="89"/>
        <item x="238"/>
        <item x="21"/>
        <item x="605"/>
        <item x="447"/>
        <item x="178"/>
        <item x="28"/>
        <item x="454"/>
        <item x="200"/>
        <item x="81"/>
        <item x="427"/>
        <item x="544"/>
        <item x="584"/>
        <item x="554"/>
        <item x="230"/>
        <item x="328"/>
        <item x="484"/>
        <item x="377"/>
        <item x="76"/>
        <item x="210"/>
        <item x="580"/>
        <item x="342"/>
        <item x="303"/>
        <item x="533"/>
        <item x="46"/>
        <item x="67"/>
        <item x="340"/>
        <item x="71"/>
        <item x="444"/>
        <item x="457"/>
        <item x="300"/>
        <item x="179"/>
        <item x="84"/>
        <item x="513"/>
        <item x="530"/>
        <item x="102"/>
        <item x="519"/>
        <item x="260"/>
        <item x="5"/>
        <item x="214"/>
        <item x="609"/>
        <item x="591"/>
        <item x="331"/>
        <item x="613"/>
        <item x="31"/>
        <item x="397"/>
        <item x="500"/>
        <item x="285"/>
        <item x="149"/>
        <item x="193"/>
        <item x="436"/>
        <item x="3"/>
        <item x="473"/>
        <item x="408"/>
        <item x="24"/>
        <item x="198"/>
        <item x="190"/>
        <item x="11"/>
        <item x="593"/>
        <item x="314"/>
        <item x="240"/>
        <item x="108"/>
        <item x="409"/>
        <item x="562"/>
        <item x="550"/>
        <item x="578"/>
        <item x="493"/>
        <item x="20"/>
        <item x="231"/>
        <item x="410"/>
        <item x="148"/>
        <item x="196"/>
        <item x="587"/>
        <item x="318"/>
        <item x="174"/>
        <item x="65"/>
        <item x="365"/>
        <item x="295"/>
        <item x="227"/>
        <item x="13"/>
        <item x="255"/>
        <item x="467"/>
        <item x="539"/>
        <item x="610"/>
        <item x="393"/>
        <item x="405"/>
        <item x="4"/>
        <item x="265"/>
        <item x="191"/>
        <item x="14"/>
        <item x="474"/>
        <item x="440"/>
        <item x="175"/>
        <item x="10"/>
        <item x="334"/>
        <item x="139"/>
        <item x="98"/>
        <item x="222"/>
        <item x="492"/>
        <item x="349"/>
        <item x="359"/>
        <item x="51"/>
        <item x="545"/>
        <item x="122"/>
        <item x="297"/>
        <item x="589"/>
        <item x="555"/>
        <item x="188"/>
        <item x="249"/>
        <item x="420"/>
        <item x="313"/>
        <item x="399"/>
        <item x="26"/>
        <item x="130"/>
        <item x="234"/>
        <item x="245"/>
        <item x="35"/>
        <item x="138"/>
        <item x="75"/>
        <item x="371"/>
        <item x="150"/>
        <item x="443"/>
        <item x="375"/>
        <item x="49"/>
        <item x="477"/>
        <item x="523"/>
        <item x="301"/>
        <item x="80"/>
        <item x="252"/>
        <item x="428"/>
        <item x="506"/>
        <item x="327"/>
        <item x="254"/>
        <item x="208"/>
        <item x="306"/>
        <item x="512"/>
        <item x="581"/>
        <item x="308"/>
        <item x="470"/>
        <item x="425"/>
        <item x="39"/>
        <item x="577"/>
        <item x="546"/>
        <item x="155"/>
        <item x="445"/>
        <item x="145"/>
        <item x="462"/>
        <item x="557"/>
        <item x="494"/>
        <item x="315"/>
        <item x="187"/>
        <item x="369"/>
        <item x="590"/>
        <item x="540"/>
        <item x="413"/>
        <item x="611"/>
        <item x="337"/>
        <item x="515"/>
        <item x="491"/>
        <item x="110"/>
        <item x="528"/>
        <item x="58"/>
        <item x="125"/>
        <item x="482"/>
        <item x="366"/>
        <item x="43"/>
        <item x="6"/>
        <item x="140"/>
        <item x="476"/>
        <item x="259"/>
        <item x="163"/>
        <item x="344"/>
        <item x="69"/>
        <item x="368"/>
        <item x="164"/>
        <item x="356"/>
        <item x="403"/>
        <item x="432"/>
        <item x="433"/>
        <item x="617"/>
        <item x="137"/>
        <item x="127"/>
        <item x="376"/>
        <item x="90"/>
        <item x="287"/>
        <item x="604"/>
        <item x="535"/>
        <item x="592"/>
        <item x="116"/>
        <item x="320"/>
        <item x="15"/>
        <item x="166"/>
        <item x="601"/>
        <item x="279"/>
        <item x="123"/>
        <item x="263"/>
        <item x="401"/>
        <item x="563"/>
        <item x="19"/>
        <item x="229"/>
        <item x="261"/>
        <item x="180"/>
        <item x="586"/>
        <item x="181"/>
        <item x="317"/>
        <item x="364"/>
        <item x="47"/>
        <item x="332"/>
        <item x="573"/>
        <item x="305"/>
        <item x="159"/>
        <item x="147"/>
        <item x="83"/>
        <item x="207"/>
        <item x="165"/>
        <item x="316"/>
        <item x="292"/>
        <item x="358"/>
        <item x="131"/>
        <item x="398"/>
        <item x="537"/>
        <item x="531"/>
        <item x="220"/>
        <item x="172"/>
        <item x="109"/>
        <item x="325"/>
        <item x="158"/>
        <item x="113"/>
        <item x="219"/>
        <item x="450"/>
        <item x="280"/>
        <item x="385"/>
        <item x="32"/>
        <item x="348"/>
        <item x="107"/>
        <item x="298"/>
        <item x="505"/>
        <item x="404"/>
        <item x="206"/>
        <item x="186"/>
        <item x="309"/>
        <item x="422"/>
        <item x="209"/>
        <item x="119"/>
        <item x="542"/>
        <item x="600"/>
        <item x="143"/>
        <item x="355"/>
        <item x="518"/>
        <item x="616"/>
        <item x="386"/>
        <item x="330"/>
        <item x="598"/>
        <item x="446"/>
        <item x="353"/>
        <item x="483"/>
        <item x="520"/>
        <item x="267"/>
        <item x="154"/>
        <item x="497"/>
        <item x="596"/>
        <item x="30"/>
        <item x="323"/>
        <item x="157"/>
        <item x="100"/>
        <item x="173"/>
        <item x="289"/>
        <item x="387"/>
        <item x="417"/>
        <item x="246"/>
        <item x="441"/>
        <item x="144"/>
        <item x="74"/>
        <item x="508"/>
        <item x="8"/>
        <item x="459"/>
        <item x="59"/>
        <item x="293"/>
        <item x="437"/>
        <item x="430"/>
        <item x="553"/>
        <item x="203"/>
        <item x="118"/>
        <item x="343"/>
        <item x="453"/>
        <item x="77"/>
        <item x="390"/>
        <item x="455"/>
        <item x="62"/>
        <item x="607"/>
        <item x="307"/>
        <item x="277"/>
        <item x="273"/>
        <item x="339"/>
        <item x="466"/>
        <item x="481"/>
        <item x="517"/>
        <item x="485"/>
        <item x="463"/>
        <item x="552"/>
        <item x="132"/>
        <item x="195"/>
        <item x="275"/>
        <item x="389"/>
        <item x="458"/>
        <item x="341"/>
        <item x="602"/>
        <item x="570"/>
        <item x="606"/>
        <item x="363"/>
        <item x="490"/>
        <item x="345"/>
        <item x="17"/>
        <item x="419"/>
        <item x="423"/>
        <item x="264"/>
        <item x="620"/>
        <item x="574"/>
        <item x="472"/>
        <item x="185"/>
        <item x="276"/>
        <item x="96"/>
        <item x="302"/>
        <item x="48"/>
        <item x="121"/>
        <item x="614"/>
        <item x="576"/>
        <item x="233"/>
        <item x="487"/>
        <item x="183"/>
        <item x="480"/>
        <item x="414"/>
        <item x="101"/>
        <item x="168"/>
        <item x="400"/>
        <item x="312"/>
        <item x="510"/>
        <item x="538"/>
        <item x="239"/>
        <item x="379"/>
        <item x="126"/>
        <item x="571"/>
        <item x="281"/>
        <item x="111"/>
        <item x="421"/>
        <item x="322"/>
        <item x="235"/>
        <item x="93"/>
        <item x="134"/>
        <item x="286"/>
        <item x="543"/>
        <item x="170"/>
        <item x="380"/>
        <item x="189"/>
        <item x="442"/>
        <item x="382"/>
        <item x="579"/>
        <item x="194"/>
        <item x="567"/>
        <item x="85"/>
        <item x="78"/>
        <item x="97"/>
        <item x="224"/>
        <item x="319"/>
        <item x="114"/>
        <item x="216"/>
        <item x="243"/>
        <item x="95"/>
        <item x="566"/>
        <item x="160"/>
        <item x="36"/>
        <item x="52"/>
        <item x="469"/>
        <item x="38"/>
        <item x="86"/>
        <item x="94"/>
        <item x="526"/>
        <item x="152"/>
        <item x="471"/>
        <item x="416"/>
        <item x="129"/>
        <item x="272"/>
        <item x="572"/>
        <item x="352"/>
        <item x="176"/>
        <item x="541"/>
        <item x="37"/>
        <item x="103"/>
        <item x="461"/>
        <item x="12"/>
        <item x="40"/>
        <item x="597"/>
        <item x="68"/>
        <item x="547"/>
        <item x="136"/>
        <item x="549"/>
        <item x="16"/>
        <item x="274"/>
        <item x="87"/>
        <item x="434"/>
        <item x="73"/>
        <item x="63"/>
        <item x="451"/>
        <item x="60"/>
        <item x="395"/>
        <item x="45"/>
        <item x="489"/>
        <item x="354"/>
        <item x="120"/>
        <item x="299"/>
        <item x="378"/>
        <item x="333"/>
        <item x="88"/>
        <item x="388"/>
        <item x="511"/>
        <item x="223"/>
        <item x="212"/>
        <item x="104"/>
        <item x="54"/>
        <item x="66"/>
        <item x="514"/>
        <item x="167"/>
        <item x="412"/>
        <item x="117"/>
        <item x="431"/>
        <item x="182"/>
        <item x="211"/>
        <item x="370"/>
        <item x="585"/>
        <item x="475"/>
        <item x="560"/>
        <item x="283"/>
        <item x="266"/>
        <item x="215"/>
        <item x="9"/>
        <item x="268"/>
        <item x="372"/>
        <item x="452"/>
        <item x="0"/>
        <item x="278"/>
        <item x="161"/>
        <item x="488"/>
        <item x="141"/>
        <item x="524"/>
        <item x="426"/>
        <item x="561"/>
        <item x="456"/>
        <item x="449"/>
        <item x="435"/>
        <item x="112"/>
        <item x="55"/>
        <item x="406"/>
        <item x="1"/>
        <item x="468"/>
        <item x="619"/>
        <item x="18"/>
        <item x="603"/>
        <item x="57"/>
        <item x="201"/>
        <item x="565"/>
        <item x="253"/>
        <item x="232"/>
        <item x="465"/>
        <item x="582"/>
        <item x="7"/>
        <item x="290"/>
        <item x="124"/>
        <item x="595"/>
        <item x="271"/>
        <item x="429"/>
        <item x="575"/>
        <item x="569"/>
        <item x="53"/>
        <item x="418"/>
        <item x="338"/>
        <item x="27"/>
        <item x="396"/>
        <item x="479"/>
        <item x="357"/>
        <item x="169"/>
        <item x="438"/>
        <item x="347"/>
        <item x="527"/>
        <item x="564"/>
        <item x="558"/>
        <item x="221"/>
        <item x="29"/>
        <item x="151"/>
        <item x="226"/>
        <item x="529"/>
        <item x="72"/>
        <item x="248"/>
        <item x="534"/>
        <item x="424"/>
        <item x="256"/>
        <item x="384"/>
        <item x="135"/>
        <item x="373"/>
        <item x="556"/>
        <item x="133"/>
        <item x="612"/>
        <item x="460"/>
        <item x="374"/>
        <item x="361"/>
        <item x="269"/>
        <item x="105"/>
        <item x="218"/>
        <item x="321"/>
        <item x="392"/>
        <item x="236"/>
        <item x="99"/>
        <item x="217"/>
        <item x="199"/>
        <item x="162"/>
        <item x="70"/>
        <item x="241"/>
        <item x="310"/>
        <item x="202"/>
        <item x="177"/>
        <item x="2"/>
        <item x="507"/>
        <item x="367"/>
        <item x="568"/>
        <item x="204"/>
        <item x="296"/>
        <item x="153"/>
        <item x="346"/>
        <item x="559"/>
        <item x="82"/>
        <item x="525"/>
        <item x="360"/>
        <item x="501"/>
        <item x="197"/>
        <item x="156"/>
        <item x="335"/>
        <item x="44"/>
        <item x="171"/>
        <item x="383"/>
        <item x="270"/>
        <item x="23"/>
        <item x="551"/>
        <item x="499"/>
        <item x="34"/>
        <item x="351"/>
        <item x="192"/>
        <item x="250"/>
        <item x="521"/>
        <item x="381"/>
        <item x="608"/>
        <item x="329"/>
        <item x="237"/>
        <item x="402"/>
        <item x="92"/>
        <item x="50"/>
        <item x="509"/>
        <item x="146"/>
        <item x="41"/>
        <item x="128"/>
        <item x="242"/>
        <item x="25"/>
        <item x="294"/>
        <item x="464"/>
        <item x="599"/>
        <item x="621"/>
        <item x="536"/>
        <item x="583"/>
        <item x="61"/>
        <item x="288"/>
        <item x="56"/>
        <item x="64"/>
        <item x="532"/>
        <item x="516"/>
        <item x="502"/>
        <item x="258"/>
        <item x="504"/>
        <item x="336"/>
        <item x="205"/>
        <item x="91"/>
        <item x="548"/>
        <item x="496"/>
        <item x="415"/>
        <item x="503"/>
        <item x="391"/>
        <item x="284"/>
        <item x="618"/>
        <item x="251"/>
        <item x="439"/>
        <item x="291"/>
        <item x="184"/>
        <item x="522"/>
        <item x="615"/>
        <item x="311"/>
        <item x="262"/>
        <item x="448"/>
        <item x="486"/>
        <item x="394"/>
        <item x="407"/>
        <item x="594"/>
        <item x="257"/>
        <item x="142"/>
        <item x="588"/>
        <item x="228"/>
        <item x="79"/>
        <item x="495"/>
        <item x="498"/>
        <item x="326"/>
        <item x="24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
  </rowFields>
  <rowItems count="11">
    <i>
      <x v="7"/>
    </i>
    <i>
      <x v="4"/>
    </i>
    <i>
      <x v="3"/>
    </i>
    <i>
      <x v="5"/>
    </i>
    <i>
      <x v="2"/>
    </i>
    <i>
      <x v="9"/>
    </i>
    <i>
      <x/>
    </i>
    <i>
      <x v="1"/>
    </i>
    <i>
      <x v="8"/>
    </i>
    <i>
      <x v="6"/>
    </i>
    <i t="grand">
      <x/>
    </i>
  </rowItems>
  <colItems count="1">
    <i/>
  </colItems>
  <dataFields count="1">
    <dataField name="Count of Loan_ID" fld="0" subtotal="count" baseField="0" baseItem="0"/>
  </dataFields>
  <formats count="2">
    <format dxfId="1">
      <pivotArea field="1" type="button" dataOnly="0" labelOnly="1" outline="0" axis="axisRow" fieldPosition="0"/>
    </format>
    <format dxfId="0">
      <pivotArea dataOnly="0" labelOnly="1" outline="0" axis="axisValues" fieldPosition="0"/>
    </format>
  </formats>
  <chartFormats count="2">
    <chartFormat chart="9"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92CE3A-B2A1-4E10-90EF-9C06D1E7FC3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7:H22" firstHeaderRow="1" firstDataRow="1" firstDataCol="1"/>
  <pivotFields count="17">
    <pivotField showAll="0"/>
    <pivotField showAll="0">
      <items count="11">
        <item x="2"/>
        <item x="3"/>
        <item x="5"/>
        <item x="1"/>
        <item x="8"/>
        <item x="6"/>
        <item x="4"/>
        <item x="9"/>
        <item x="0"/>
        <item x="7"/>
        <item t="default"/>
      </items>
    </pivotField>
    <pivotField showAll="0"/>
    <pivotField showAll="0">
      <items count="8">
        <item x="1"/>
        <item x="5"/>
        <item x="2"/>
        <item x="3"/>
        <item x="6"/>
        <item x="0"/>
        <item x="4"/>
        <item t="default"/>
      </items>
    </pivotField>
    <pivotField showAll="0"/>
    <pivotField dataField="1" showAll="0">
      <items count="567">
        <item x="489"/>
        <item x="227"/>
        <item x="305"/>
        <item x="557"/>
        <item x="126"/>
        <item x="134"/>
        <item x="271"/>
        <item x="538"/>
        <item x="11"/>
        <item x="41"/>
        <item x="143"/>
        <item x="98"/>
        <item x="264"/>
        <item x="230"/>
        <item x="179"/>
        <item x="9"/>
        <item x="426"/>
        <item x="350"/>
        <item x="419"/>
        <item x="352"/>
        <item x="516"/>
        <item x="356"/>
        <item x="496"/>
        <item x="371"/>
        <item x="520"/>
        <item x="515"/>
        <item x="20"/>
        <item x="43"/>
        <item x="398"/>
        <item x="182"/>
        <item x="58"/>
        <item x="236"/>
        <item x="547"/>
        <item x="147"/>
        <item x="175"/>
        <item x="290"/>
        <item x="72"/>
        <item x="52"/>
        <item x="266"/>
        <item x="192"/>
        <item x="291"/>
        <item x="90"/>
        <item x="282"/>
        <item x="89"/>
        <item x="542"/>
        <item x="150"/>
        <item x="450"/>
        <item x="229"/>
        <item x="420"/>
        <item x="485"/>
        <item x="348"/>
        <item x="140"/>
        <item x="93"/>
        <item x="128"/>
        <item x="494"/>
        <item x="367"/>
        <item x="438"/>
        <item x="67"/>
        <item x="214"/>
        <item x="185"/>
        <item x="108"/>
        <item x="198"/>
        <item x="521"/>
        <item x="75"/>
        <item x="253"/>
        <item x="255"/>
        <item x="225"/>
        <item x="563"/>
        <item x="473"/>
        <item x="373"/>
        <item x="28"/>
        <item x="452"/>
        <item x="312"/>
        <item x="479"/>
        <item x="257"/>
        <item x="482"/>
        <item x="453"/>
        <item x="439"/>
        <item x="548"/>
        <item x="492"/>
        <item x="415"/>
        <item x="109"/>
        <item x="325"/>
        <item x="30"/>
        <item x="190"/>
        <item x="191"/>
        <item x="228"/>
        <item x="5"/>
        <item x="226"/>
        <item x="404"/>
        <item x="315"/>
        <item x="508"/>
        <item x="248"/>
        <item x="523"/>
        <item x="474"/>
        <item x="24"/>
        <item x="278"/>
        <item x="481"/>
        <item x="193"/>
        <item x="331"/>
        <item x="124"/>
        <item x="561"/>
        <item x="341"/>
        <item x="217"/>
        <item x="316"/>
        <item x="464"/>
        <item x="423"/>
        <item x="64"/>
        <item x="156"/>
        <item x="113"/>
        <item x="286"/>
        <item x="261"/>
        <item x="83"/>
        <item x="259"/>
        <item x="498"/>
        <item x="436"/>
        <item x="393"/>
        <item x="558"/>
        <item x="145"/>
        <item x="328"/>
        <item x="302"/>
        <item x="343"/>
        <item x="239"/>
        <item x="296"/>
        <item x="232"/>
        <item x="224"/>
        <item x="478"/>
        <item x="377"/>
        <item x="445"/>
        <item x="238"/>
        <item x="15"/>
        <item x="519"/>
        <item x="499"/>
        <item x="138"/>
        <item x="354"/>
        <item x="235"/>
        <item x="551"/>
        <item x="146"/>
        <item x="144"/>
        <item x="200"/>
        <item x="36"/>
        <item x="100"/>
        <item x="119"/>
        <item x="446"/>
        <item x="131"/>
        <item x="351"/>
        <item x="189"/>
        <item x="543"/>
        <item x="488"/>
        <item x="336"/>
        <item x="82"/>
        <item x="532"/>
        <item x="97"/>
        <item x="85"/>
        <item x="164"/>
        <item x="340"/>
        <item x="105"/>
        <item x="335"/>
        <item x="454"/>
        <item x="407"/>
        <item x="69"/>
        <item x="417"/>
        <item x="68"/>
        <item x="442"/>
        <item x="522"/>
        <item x="54"/>
        <item x="425"/>
        <item x="45"/>
        <item x="199"/>
        <item x="32"/>
        <item x="497"/>
        <item x="177"/>
        <item x="92"/>
        <item x="444"/>
        <item x="565"/>
        <item x="180"/>
        <item x="451"/>
        <item x="456"/>
        <item x="46"/>
        <item x="207"/>
        <item x="31"/>
        <item x="540"/>
        <item x="376"/>
        <item x="104"/>
        <item x="327"/>
        <item x="535"/>
        <item x="295"/>
        <item x="358"/>
        <item x="339"/>
        <item x="361"/>
        <item x="209"/>
        <item x="471"/>
        <item x="57"/>
        <item x="49"/>
        <item x="431"/>
        <item x="256"/>
        <item x="541"/>
        <item x="509"/>
        <item x="391"/>
        <item x="449"/>
        <item x="544"/>
        <item x="530"/>
        <item x="80"/>
        <item x="297"/>
        <item x="493"/>
        <item x="47"/>
        <item x="204"/>
        <item x="210"/>
        <item x="447"/>
        <item x="203"/>
        <item x="374"/>
        <item x="468"/>
        <item x="484"/>
        <item x="165"/>
        <item x="299"/>
        <item x="160"/>
        <item x="463"/>
        <item x="298"/>
        <item x="402"/>
        <item x="59"/>
        <item x="292"/>
        <item x="524"/>
        <item x="4"/>
        <item x="332"/>
        <item x="8"/>
        <item x="435"/>
        <item x="283"/>
        <item x="288"/>
        <item x="237"/>
        <item x="260"/>
        <item x="215"/>
        <item x="27"/>
        <item x="81"/>
        <item x="506"/>
        <item x="122"/>
        <item x="414"/>
        <item x="560"/>
        <item x="76"/>
        <item x="51"/>
        <item x="470"/>
        <item x="117"/>
        <item x="187"/>
        <item x="372"/>
        <item x="250"/>
        <item x="243"/>
        <item x="65"/>
        <item x="263"/>
        <item x="79"/>
        <item x="329"/>
        <item x="171"/>
        <item x="244"/>
        <item x="503"/>
        <item x="70"/>
        <item x="55"/>
        <item x="127"/>
        <item x="132"/>
        <item x="14"/>
        <item x="220"/>
        <item x="441"/>
        <item x="172"/>
        <item x="178"/>
        <item x="549"/>
        <item x="518"/>
        <item x="120"/>
        <item x="277"/>
        <item x="169"/>
        <item x="399"/>
        <item x="457"/>
        <item x="148"/>
        <item x="300"/>
        <item x="281"/>
        <item x="501"/>
        <item x="437"/>
        <item x="552"/>
        <item x="267"/>
        <item x="84"/>
        <item x="304"/>
        <item x="275"/>
        <item x="495"/>
        <item x="455"/>
        <item x="413"/>
        <item x="465"/>
        <item x="183"/>
        <item x="467"/>
        <item x="3"/>
        <item x="249"/>
        <item x="514"/>
        <item x="550"/>
        <item x="181"/>
        <item x="216"/>
        <item x="21"/>
        <item x="211"/>
        <item x="330"/>
        <item x="262"/>
        <item x="513"/>
        <item x="510"/>
        <item x="201"/>
        <item x="311"/>
        <item x="73"/>
        <item x="233"/>
        <item x="159"/>
        <item x="528"/>
        <item x="392"/>
        <item x="564"/>
        <item x="252"/>
        <item x="202"/>
        <item x="412"/>
        <item x="163"/>
        <item x="245"/>
        <item x="289"/>
        <item x="155"/>
        <item x="18"/>
        <item x="44"/>
        <item x="517"/>
        <item x="26"/>
        <item x="242"/>
        <item x="355"/>
        <item x="294"/>
        <item x="268"/>
        <item x="1"/>
        <item x="381"/>
        <item x="526"/>
        <item x="375"/>
        <item x="475"/>
        <item x="480"/>
        <item x="38"/>
        <item x="416"/>
        <item x="459"/>
        <item x="366"/>
        <item x="554"/>
        <item x="323"/>
        <item x="476"/>
        <item x="384"/>
        <item x="118"/>
        <item x="162"/>
        <item x="383"/>
        <item x="114"/>
        <item x="135"/>
        <item x="397"/>
        <item x="344"/>
        <item x="388"/>
        <item x="106"/>
        <item x="94"/>
        <item x="88"/>
        <item x="254"/>
        <item x="149"/>
        <item x="234"/>
        <item x="103"/>
        <item x="221"/>
        <item x="533"/>
        <item x="136"/>
        <item x="511"/>
        <item x="241"/>
        <item x="157"/>
        <item x="380"/>
        <item x="314"/>
        <item x="48"/>
        <item x="428"/>
        <item x="95"/>
        <item x="37"/>
        <item x="490"/>
        <item x="269"/>
        <item x="170"/>
        <item x="63"/>
        <item x="324"/>
        <item x="338"/>
        <item x="137"/>
        <item x="61"/>
        <item x="477"/>
        <item x="96"/>
        <item x="173"/>
        <item x="321"/>
        <item x="188"/>
        <item x="86"/>
        <item x="334"/>
        <item x="303"/>
        <item x="559"/>
        <item x="194"/>
        <item x="167"/>
        <item x="357"/>
        <item x="408"/>
        <item x="313"/>
        <item x="62"/>
        <item x="34"/>
        <item x="222"/>
        <item x="42"/>
        <item x="400"/>
        <item x="101"/>
        <item x="219"/>
        <item x="401"/>
        <item x="534"/>
        <item x="116"/>
        <item x="197"/>
        <item x="56"/>
        <item x="270"/>
        <item x="405"/>
        <item x="258"/>
        <item x="223"/>
        <item x="342"/>
        <item x="246"/>
        <item x="406"/>
        <item x="349"/>
        <item x="410"/>
        <item x="115"/>
        <item x="247"/>
        <item x="12"/>
        <item x="78"/>
        <item x="16"/>
        <item x="102"/>
        <item x="387"/>
        <item x="301"/>
        <item x="139"/>
        <item x="396"/>
        <item x="539"/>
        <item x="326"/>
        <item x="22"/>
        <item x="133"/>
        <item x="458"/>
        <item x="0"/>
        <item x="50"/>
        <item x="7"/>
        <item x="111"/>
        <item x="424"/>
        <item x="77"/>
        <item x="142"/>
        <item x="466"/>
        <item x="158"/>
        <item x="369"/>
        <item x="129"/>
        <item x="318"/>
        <item x="491"/>
        <item x="66"/>
        <item x="553"/>
        <item x="386"/>
        <item x="320"/>
        <item x="440"/>
        <item x="502"/>
        <item x="347"/>
        <item x="378"/>
        <item x="472"/>
        <item x="186"/>
        <item x="308"/>
        <item x="505"/>
        <item x="307"/>
        <item x="529"/>
        <item x="460"/>
        <item x="346"/>
        <item x="409"/>
        <item x="309"/>
        <item x="53"/>
        <item x="6"/>
        <item x="168"/>
        <item x="206"/>
        <item x="276"/>
        <item x="265"/>
        <item x="486"/>
        <item x="35"/>
        <item x="483"/>
        <item x="443"/>
        <item x="25"/>
        <item x="525"/>
        <item x="310"/>
        <item x="284"/>
        <item x="306"/>
        <item x="152"/>
        <item x="370"/>
        <item x="448"/>
        <item x="196"/>
        <item x="345"/>
        <item x="17"/>
        <item x="556"/>
        <item x="273"/>
        <item x="333"/>
        <item x="153"/>
        <item x="176"/>
        <item x="364"/>
        <item x="527"/>
        <item x="507"/>
        <item x="205"/>
        <item x="562"/>
        <item x="39"/>
        <item x="545"/>
        <item x="272"/>
        <item x="379"/>
        <item x="151"/>
        <item x="10"/>
        <item x="123"/>
        <item x="274"/>
        <item x="365"/>
        <item x="430"/>
        <item x="433"/>
        <item x="279"/>
        <item x="218"/>
        <item x="469"/>
        <item x="461"/>
        <item x="23"/>
        <item x="382"/>
        <item x="29"/>
        <item x="107"/>
        <item x="251"/>
        <item x="33"/>
        <item x="487"/>
        <item x="213"/>
        <item x="287"/>
        <item x="141"/>
        <item x="353"/>
        <item x="421"/>
        <item x="195"/>
        <item x="280"/>
        <item x="112"/>
        <item x="536"/>
        <item x="422"/>
        <item x="360"/>
        <item x="322"/>
        <item x="317"/>
        <item x="231"/>
        <item x="166"/>
        <item x="427"/>
        <item x="359"/>
        <item x="362"/>
        <item x="285"/>
        <item x="555"/>
        <item x="40"/>
        <item x="319"/>
        <item x="500"/>
        <item x="512"/>
        <item x="130"/>
        <item x="161"/>
        <item x="418"/>
        <item x="184"/>
        <item x="389"/>
        <item x="390"/>
        <item x="154"/>
        <item x="531"/>
        <item x="546"/>
        <item x="174"/>
        <item x="434"/>
        <item x="337"/>
        <item x="212"/>
        <item x="403"/>
        <item x="60"/>
        <item x="110"/>
        <item x="2"/>
        <item x="91"/>
        <item x="208"/>
        <item x="121"/>
        <item x="240"/>
        <item x="411"/>
        <item x="537"/>
        <item x="99"/>
        <item x="19"/>
        <item x="87"/>
        <item x="13"/>
        <item x="74"/>
        <item x="429"/>
        <item x="432"/>
        <item x="125"/>
        <item x="71"/>
        <item x="395"/>
        <item x="462"/>
        <item x="385"/>
        <item x="394"/>
        <item x="363"/>
        <item x="293"/>
        <item x="368"/>
        <item x="504"/>
        <item t="default"/>
      </items>
    </pivotField>
    <pivotField showAll="0"/>
    <pivotField showAll="0"/>
    <pivotField showAll="0"/>
    <pivotField showAll="0">
      <items count="5">
        <item x="3"/>
        <item x="0"/>
        <item x="1"/>
        <item x="2"/>
        <item t="default"/>
      </items>
    </pivotField>
    <pivotField showAll="0"/>
    <pivotField showAll="0"/>
    <pivotField showAll="0">
      <items count="5">
        <item x="2"/>
        <item x="1"/>
        <item x="3"/>
        <item x="0"/>
        <item t="default"/>
      </items>
    </pivotField>
    <pivotField numFmtId="14" showAll="0">
      <items count="1245">
        <item m="1" x="904"/>
        <item m="1" x="847"/>
        <item m="1" x="1033"/>
        <item m="1" x="728"/>
        <item m="1" x="835"/>
        <item m="1" x="926"/>
        <item m="1" x="655"/>
        <item m="1" x="946"/>
        <item m="1" x="972"/>
        <item m="1" x="644"/>
        <item m="1" x="869"/>
        <item m="1" x="664"/>
        <item m="1" x="1100"/>
        <item m="1" x="984"/>
        <item m="1" x="737"/>
        <item m="1" x="711"/>
        <item m="1" x="860"/>
        <item m="1" x="643"/>
        <item m="1" x="1227"/>
        <item m="1" x="1069"/>
        <item m="1" x="800"/>
        <item m="1" x="650"/>
        <item m="1" x="1076"/>
        <item m="1" x="822"/>
        <item m="1" x="703"/>
        <item m="1" x="1049"/>
        <item m="1" x="1166"/>
        <item m="1" x="1206"/>
        <item m="1" x="1176"/>
        <item m="1" x="852"/>
        <item m="1" x="950"/>
        <item m="1" x="1106"/>
        <item m="1" x="999"/>
        <item m="1" x="698"/>
        <item m="1" x="832"/>
        <item m="1" x="1202"/>
        <item m="1" x="964"/>
        <item m="1" x="925"/>
        <item m="1" x="1155"/>
        <item m="1" x="668"/>
        <item m="1" x="689"/>
        <item m="1" x="962"/>
        <item m="1" x="693"/>
        <item m="1" x="1066"/>
        <item m="1" x="1079"/>
        <item m="1" x="922"/>
        <item m="1" x="801"/>
        <item m="1" x="706"/>
        <item m="1" x="1135"/>
        <item m="1" x="1152"/>
        <item m="1" x="724"/>
        <item m="1" x="1141"/>
        <item m="1" x="882"/>
        <item m="1" x="627"/>
        <item m="1" x="836"/>
        <item m="1" x="1231"/>
        <item m="1" x="1213"/>
        <item m="1" x="953"/>
        <item m="1" x="1235"/>
        <item m="1" x="653"/>
        <item m="1" x="1019"/>
        <item m="1" x="1122"/>
        <item m="1" x="907"/>
        <item m="1" x="771"/>
        <item m="1" x="815"/>
        <item m="1" x="1058"/>
        <item m="1" x="625"/>
        <item m="1" x="1095"/>
        <item m="1" x="1030"/>
        <item m="1" x="646"/>
        <item m="1" x="820"/>
        <item m="1" x="812"/>
        <item m="1" x="633"/>
        <item m="1" x="1215"/>
        <item m="1" x="936"/>
        <item m="1" x="862"/>
        <item m="1" x="730"/>
        <item m="1" x="1031"/>
        <item m="1" x="1184"/>
        <item m="1" x="1172"/>
        <item m="1" x="1200"/>
        <item m="1" x="1115"/>
        <item m="1" x="642"/>
        <item m="1" x="853"/>
        <item m="1" x="1032"/>
        <item m="1" x="770"/>
        <item m="1" x="818"/>
        <item m="1" x="1209"/>
        <item m="1" x="940"/>
        <item m="1" x="796"/>
        <item m="1" x="687"/>
        <item m="1" x="987"/>
        <item m="1" x="917"/>
        <item m="1" x="849"/>
        <item m="1" x="635"/>
        <item m="1" x="877"/>
        <item m="1" x="1089"/>
        <item m="1" x="1161"/>
        <item m="1" x="1232"/>
        <item m="1" x="1015"/>
        <item m="1" x="1027"/>
        <item m="1" x="626"/>
        <item m="1" x="887"/>
        <item m="1" x="813"/>
        <item m="1" x="636"/>
        <item m="1" x="1096"/>
        <item m="1" x="1062"/>
        <item m="1" x="797"/>
        <item m="1" x="632"/>
        <item m="1" x="956"/>
        <item m="1" x="761"/>
        <item m="1" x="720"/>
        <item m="1" x="844"/>
        <item m="1" x="1114"/>
        <item m="1" x="971"/>
        <item m="1" x="981"/>
        <item m="1" x="673"/>
        <item m="1" x="1167"/>
        <item m="1" x="744"/>
        <item m="1" x="919"/>
        <item m="1" x="1211"/>
        <item m="1" x="1177"/>
        <item m="1" x="810"/>
        <item m="1" x="871"/>
        <item m="1" x="1042"/>
        <item m="1" x="935"/>
        <item m="1" x="1021"/>
        <item m="1" x="648"/>
        <item m="1" x="752"/>
        <item m="1" x="856"/>
        <item m="1" x="867"/>
        <item m="1" x="657"/>
        <item m="1" x="760"/>
        <item m="1" x="697"/>
        <item m="1" x="993"/>
        <item m="1" x="772"/>
        <item m="1" x="1065"/>
        <item m="1" x="997"/>
        <item m="1" x="671"/>
        <item m="1" x="1099"/>
        <item m="1" x="1145"/>
        <item m="1" x="923"/>
        <item m="1" x="702"/>
        <item m="1" x="874"/>
        <item m="1" x="1050"/>
        <item m="1" x="1128"/>
        <item m="1" x="949"/>
        <item m="1" x="876"/>
        <item m="1" x="830"/>
        <item m="1" x="928"/>
        <item m="1" x="1134"/>
        <item m="1" x="1203"/>
        <item m="1" x="930"/>
        <item m="1" x="1092"/>
        <item m="1" x="1047"/>
        <item m="1" x="661"/>
        <item m="1" x="1199"/>
        <item m="1" x="1168"/>
        <item m="1" x="777"/>
        <item m="1" x="1067"/>
        <item m="1" x="767"/>
        <item m="1" x="1084"/>
        <item m="1" x="1179"/>
        <item m="1" x="1116"/>
        <item m="1" x="937"/>
        <item m="1" x="809"/>
        <item m="1" x="991"/>
        <item m="1" x="1212"/>
        <item m="1" x="1162"/>
        <item m="1" x="1035"/>
        <item m="1" x="1233"/>
        <item m="1" x="959"/>
        <item m="1" x="1137"/>
        <item m="1" x="1113"/>
        <item m="1" x="732"/>
        <item m="1" x="1150"/>
        <item m="1" x="680"/>
        <item m="1" x="747"/>
        <item m="1" x="1104"/>
        <item m="1" x="988"/>
        <item m="1" x="665"/>
        <item m="1" x="628"/>
        <item m="1" x="762"/>
        <item m="1" x="1098"/>
        <item m="1" x="881"/>
        <item m="1" x="785"/>
        <item m="1" x="966"/>
        <item m="1" x="691"/>
        <item m="1" x="990"/>
        <item m="1" x="786"/>
        <item m="1" x="978"/>
        <item m="1" x="1025"/>
        <item m="1" x="1054"/>
        <item m="1" x="1055"/>
        <item m="1" x="1239"/>
        <item m="1" x="759"/>
        <item m="1" x="749"/>
        <item m="1" x="998"/>
        <item m="1" x="712"/>
        <item m="1" x="909"/>
        <item m="1" x="1226"/>
        <item m="1" x="1157"/>
        <item m="1" x="1214"/>
        <item m="1" x="738"/>
        <item m="1" x="942"/>
        <item m="1" x="637"/>
        <item m="1" x="788"/>
        <item m="1" x="1223"/>
        <item m="1" x="901"/>
        <item m="1" x="745"/>
        <item m="1" x="885"/>
        <item m="1" x="1023"/>
        <item m="1" x="1185"/>
        <item m="1" x="641"/>
        <item m="1" x="851"/>
        <item m="1" x="883"/>
        <item m="1" x="802"/>
        <item m="1" x="1208"/>
        <item m="1" x="803"/>
        <item m="1" x="939"/>
        <item m="1" x="986"/>
        <item m="1" x="669"/>
        <item m="1" x="954"/>
        <item m="1" x="1195"/>
        <item m="1" x="927"/>
        <item m="1" x="781"/>
        <item m="1" x="769"/>
        <item m="1" x="705"/>
        <item m="1" x="829"/>
        <item m="1" x="787"/>
        <item m="1" x="938"/>
        <item m="1" x="914"/>
        <item m="1" x="980"/>
        <item m="1" x="753"/>
        <item m="1" x="1020"/>
        <item m="1" x="1159"/>
        <item m="1" x="1153"/>
        <item m="1" x="842"/>
        <item m="1" x="794"/>
        <item m="1" x="731"/>
        <item m="1" x="947"/>
        <item m="1" x="780"/>
        <item m="1" x="735"/>
        <item m="1" x="841"/>
        <item m="1" x="1072"/>
        <item m="1" x="902"/>
        <item m="1" x="1007"/>
        <item m="1" x="654"/>
        <item m="1" x="970"/>
        <item m="1" x="729"/>
        <item m="1" x="920"/>
        <item m="1" x="1127"/>
        <item m="1" x="1026"/>
        <item m="1" x="828"/>
        <item m="1" x="808"/>
        <item m="1" x="931"/>
        <item m="1" x="1044"/>
        <item m="1" x="831"/>
        <item m="1" x="741"/>
        <item m="1" x="1164"/>
        <item m="1" x="1222"/>
        <item m="1" x="765"/>
        <item m="1" x="977"/>
        <item m="1" x="1140"/>
        <item m="1" x="1238"/>
        <item m="1" x="1008"/>
        <item m="1" x="952"/>
        <item m="1" x="1220"/>
        <item m="1" x="1068"/>
        <item m="1" x="975"/>
        <item m="1" x="1105"/>
        <item m="1" x="1142"/>
        <item m="1" x="889"/>
        <item m="1" x="776"/>
        <item m="1" x="1119"/>
        <item m="1" x="1218"/>
        <item m="1" x="652"/>
        <item m="1" x="945"/>
        <item m="1" x="779"/>
        <item m="1" x="722"/>
        <item m="1" x="795"/>
        <item m="1" x="911"/>
        <item m="1" x="1009"/>
        <item m="1" x="1039"/>
        <item m="1" x="868"/>
        <item m="1" x="1063"/>
        <item m="1" x="766"/>
        <item m="1" x="696"/>
        <item m="1" x="1130"/>
        <item m="1" x="630"/>
        <item m="1" x="1081"/>
        <item m="1" x="681"/>
        <item m="1" x="915"/>
        <item m="1" x="1059"/>
        <item m="1" x="1052"/>
        <item m="1" x="1175"/>
        <item m="1" x="825"/>
        <item m="1" x="740"/>
        <item m="1" x="965"/>
        <item m="1" x="1075"/>
        <item m="1" x="699"/>
        <item m="1" x="1012"/>
        <item m="1" x="1077"/>
        <item m="1" x="684"/>
        <item m="1" x="1229"/>
        <item m="1" x="929"/>
        <item m="1" x="899"/>
        <item m="1" x="895"/>
        <item m="1" x="961"/>
        <item m="1" x="1088"/>
        <item m="1" x="1103"/>
        <item m="1" x="1139"/>
        <item m="1" x="1107"/>
        <item m="1" x="1085"/>
        <item m="1" x="1174"/>
        <item m="1" x="754"/>
        <item m="1" x="817"/>
        <item m="1" x="897"/>
        <item m="1" x="1011"/>
        <item m="1" x="1080"/>
        <item m="1" x="963"/>
        <item m="1" x="1224"/>
        <item m="1" x="1192"/>
        <item m="1" x="1228"/>
        <item m="1" x="985"/>
        <item m="1" x="1112"/>
        <item m="1" x="967"/>
        <item m="1" x="639"/>
        <item m="1" x="1041"/>
        <item m="1" x="1045"/>
        <item m="1" x="886"/>
        <item m="1" x="1242"/>
        <item m="1" x="1196"/>
        <item m="1" x="1094"/>
        <item m="1" x="807"/>
        <item m="1" x="898"/>
        <item m="1" x="718"/>
        <item m="1" x="924"/>
        <item m="1" x="670"/>
        <item m="1" x="743"/>
        <item m="1" x="1236"/>
        <item m="1" x="1198"/>
        <item m="1" x="855"/>
        <item m="1" x="1109"/>
        <item m="1" x="805"/>
        <item m="1" x="1102"/>
        <item m="1" x="1036"/>
        <item m="1" x="723"/>
        <item m="1" x="790"/>
        <item m="1" x="1022"/>
        <item m="1" x="934"/>
        <item m="1" x="1132"/>
        <item m="1" x="1160"/>
        <item m="1" x="861"/>
        <item m="1" x="1001"/>
        <item m="1" x="748"/>
        <item m="1" x="1193"/>
        <item m="1" x="903"/>
        <item m="1" x="733"/>
        <item m="1" x="1043"/>
        <item m="1" x="944"/>
        <item m="1" x="857"/>
        <item m="1" x="715"/>
        <item m="1" x="756"/>
        <item m="1" x="908"/>
        <item m="1" x="1165"/>
        <item m="1" x="792"/>
        <item m="1" x="1002"/>
        <item m="1" x="811"/>
        <item m="1" x="1064"/>
        <item m="1" x="1004"/>
        <item m="1" x="1201"/>
        <item m="1" x="816"/>
        <item m="1" x="1189"/>
        <item m="1" x="707"/>
        <item m="1" x="700"/>
        <item m="1" x="719"/>
        <item m="1" x="846"/>
        <item m="1" x="941"/>
        <item m="1" x="736"/>
        <item m="1" x="838"/>
        <item m="1" x="865"/>
        <item m="1" x="717"/>
        <item m="1" x="1188"/>
        <item m="1" x="782"/>
        <item m="1" x="658"/>
        <item m="1" x="674"/>
        <item m="1" x="1091"/>
        <item m="1" x="660"/>
        <item m="1" x="708"/>
        <item m="1" x="716"/>
        <item m="1" x="1148"/>
        <item m="1" x="774"/>
        <item m="1" x="1093"/>
        <item m="1" x="1038"/>
        <item m="1" x="751"/>
        <item m="1" x="894"/>
        <item m="1" x="1194"/>
        <item m="1" x="974"/>
        <item m="1" x="798"/>
        <item m="1" x="1163"/>
        <item m="1" x="659"/>
        <item m="1" x="725"/>
        <item m="1" x="1083"/>
        <item m="1" x="634"/>
        <item m="1" x="662"/>
        <item m="1" x="1219"/>
        <item m="1" x="690"/>
        <item m="1" x="1169"/>
        <item m="1" x="758"/>
        <item m="1" x="1171"/>
        <item m="1" x="638"/>
        <item m="1" x="896"/>
        <item m="1" x="709"/>
        <item m="1" x="1056"/>
        <item m="1" x="695"/>
        <item m="1" x="685"/>
        <item m="1" x="1073"/>
        <item m="1" x="682"/>
        <item m="1" x="1017"/>
        <item m="1" x="667"/>
        <item m="1" x="1111"/>
        <item m="1" x="976"/>
        <item m="1" x="742"/>
        <item m="1" x="921"/>
        <item m="1" x="1000"/>
        <item m="1" x="955"/>
        <item m="1" x="710"/>
        <item m="1" x="1010"/>
        <item m="1" x="1133"/>
        <item m="1" x="845"/>
        <item m="1" x="834"/>
        <item m="1" x="726"/>
        <item m="1" x="676"/>
        <item m="1" x="688"/>
        <item m="1" x="1136"/>
        <item m="1" x="789"/>
        <item m="1" x="1034"/>
        <item m="1" x="739"/>
        <item m="1" x="1053"/>
        <item m="1" x="804"/>
        <item m="1" x="833"/>
        <item m="1" x="992"/>
        <item m="1" x="1207"/>
        <item m="1" x="1097"/>
        <item m="1" x="1182"/>
        <item m="1" x="905"/>
        <item m="1" x="888"/>
        <item m="1" x="837"/>
        <item m="1" x="631"/>
        <item m="1" x="890"/>
        <item m="1" x="994"/>
        <item m="1" x="1074"/>
        <item m="1" x="622"/>
        <item m="1" x="900"/>
        <item m="1" x="783"/>
        <item m="1" x="1110"/>
        <item m="1" x="763"/>
        <item m="1" x="1146"/>
        <item m="1" x="1048"/>
        <item m="1" x="1183"/>
        <item m="1" x="1078"/>
        <item m="1" x="1071"/>
        <item m="1" x="1057"/>
        <item m="1" x="734"/>
        <item m="1" x="677"/>
        <item m="1" x="1028"/>
        <item m="1" x="623"/>
        <item m="1" x="1090"/>
        <item m="1" x="1241"/>
        <item m="1" x="640"/>
        <item m="1" x="1225"/>
        <item m="1" x="679"/>
        <item m="1" x="823"/>
        <item m="1" x="1187"/>
        <item m="1" x="875"/>
        <item m="1" x="854"/>
        <item m="1" x="1087"/>
        <item m="1" x="1204"/>
        <item m="1" x="629"/>
        <item m="1" x="912"/>
        <item m="1" x="746"/>
        <item m="1" x="1217"/>
        <item m="1" x="893"/>
        <item m="1" x="1051"/>
        <item m="1" x="1197"/>
        <item m="1" x="1191"/>
        <item m="1" x="675"/>
        <item m="1" x="1040"/>
        <item m="1" x="960"/>
        <item m="1" x="649"/>
        <item m="1" x="1018"/>
        <item m="1" x="1101"/>
        <item m="1" x="979"/>
        <item m="1" x="791"/>
        <item m="1" x="1060"/>
        <item m="1" x="969"/>
        <item m="1" x="1149"/>
        <item m="1" x="1186"/>
        <item m="1" x="1180"/>
        <item m="1" x="843"/>
        <item m="1" x="651"/>
        <item m="1" x="773"/>
        <item m="1" x="848"/>
        <item m="1" x="1151"/>
        <item m="1" x="694"/>
        <item m="1" x="870"/>
        <item m="1" x="1156"/>
        <item m="1" x="1046"/>
        <item m="1" x="878"/>
        <item m="1" x="1006"/>
        <item m="1" x="757"/>
        <item m="1" x="995"/>
        <item m="1" x="1178"/>
        <item m="1" x="755"/>
        <item m="1" x="1234"/>
        <item m="1" x="1082"/>
        <item m="1" x="996"/>
        <item m="1" x="983"/>
        <item m="1" x="891"/>
        <item m="1" x="727"/>
        <item m="1" x="840"/>
        <item m="1" x="943"/>
        <item m="1" x="1014"/>
        <item m="1" x="858"/>
        <item m="1" x="721"/>
        <item m="1" x="839"/>
        <item m="1" x="821"/>
        <item m="1" x="784"/>
        <item m="1" x="692"/>
        <item m="1" x="863"/>
        <item m="1" x="932"/>
        <item m="1" x="824"/>
        <item m="1" x="799"/>
        <item m="1" x="624"/>
        <item m="1" x="1129"/>
        <item m="1" x="989"/>
        <item m="1" x="1190"/>
        <item m="1" x="826"/>
        <item m="1" x="918"/>
        <item m="1" x="775"/>
        <item m="1" x="968"/>
        <item m="1" x="1181"/>
        <item m="1" x="704"/>
        <item m="1" x="1147"/>
        <item m="1" x="982"/>
        <item m="1" x="1123"/>
        <item m="1" x="819"/>
        <item m="1" x="778"/>
        <item m="1" x="957"/>
        <item m="1" x="666"/>
        <item m="1" x="793"/>
        <item m="1" x="1005"/>
        <item m="1" x="892"/>
        <item m="1" x="645"/>
        <item m="1" x="1173"/>
        <item m="1" x="1121"/>
        <item m="1" x="656"/>
        <item m="1" x="973"/>
        <item m="1" x="814"/>
        <item m="1" x="872"/>
        <item m="1" x="1143"/>
        <item m="1" x="1003"/>
        <item m="1" x="1230"/>
        <item m="1" x="951"/>
        <item m="1" x="859"/>
        <item m="1" x="1024"/>
        <item m="1" x="714"/>
        <item m="1" x="672"/>
        <item m="1" x="1131"/>
        <item m="1" x="768"/>
        <item m="1" x="663"/>
        <item m="1" x="750"/>
        <item m="1" x="864"/>
        <item m="1" x="647"/>
        <item m="1" x="916"/>
        <item m="1" x="1086"/>
        <item m="1" x="1221"/>
        <item m="1" x="1243"/>
        <item m="1" x="1158"/>
        <item m="1" x="1205"/>
        <item m="1" x="683"/>
        <item m="1" x="910"/>
        <item m="1" x="678"/>
        <item m="1" x="686"/>
        <item m="1" x="1154"/>
        <item m="1" x="1138"/>
        <item m="1" x="1124"/>
        <item m="1" x="880"/>
        <item m="1" x="1126"/>
        <item m="1" x="958"/>
        <item m="1" x="827"/>
        <item m="1" x="713"/>
        <item m="1" x="1170"/>
        <item m="1" x="1118"/>
        <item m="1" x="1037"/>
        <item m="1" x="1125"/>
        <item m="1" x="1013"/>
        <item m="1" x="906"/>
        <item m="1" x="1240"/>
        <item m="1" x="873"/>
        <item m="1" x="1061"/>
        <item m="1" x="913"/>
        <item m="1" x="806"/>
        <item m="1" x="1144"/>
        <item m="1" x="1237"/>
        <item m="1" x="933"/>
        <item m="1" x="884"/>
        <item m="1" x="1070"/>
        <item m="1" x="1108"/>
        <item m="1" x="1016"/>
        <item m="1" x="1029"/>
        <item m="1" x="1216"/>
        <item m="1" x="879"/>
        <item m="1" x="764"/>
        <item m="1" x="1210"/>
        <item m="1" x="850"/>
        <item m="1" x="701"/>
        <item m="1" x="1117"/>
        <item m="1" x="1120"/>
        <item m="1" x="948"/>
        <item m="1" x="866"/>
        <item x="282"/>
        <item x="225"/>
        <item x="411"/>
        <item x="106"/>
        <item x="213"/>
        <item x="304"/>
        <item x="33"/>
        <item x="324"/>
        <item x="350"/>
        <item x="22"/>
        <item x="247"/>
        <item x="42"/>
        <item x="478"/>
        <item x="362"/>
        <item x="115"/>
        <item x="89"/>
        <item x="238"/>
        <item x="21"/>
        <item x="605"/>
        <item x="447"/>
        <item x="178"/>
        <item x="28"/>
        <item x="454"/>
        <item x="200"/>
        <item x="81"/>
        <item x="427"/>
        <item x="544"/>
        <item x="584"/>
        <item x="554"/>
        <item x="230"/>
        <item x="328"/>
        <item x="484"/>
        <item x="377"/>
        <item x="76"/>
        <item x="210"/>
        <item x="580"/>
        <item x="342"/>
        <item x="303"/>
        <item x="533"/>
        <item x="46"/>
        <item x="67"/>
        <item x="340"/>
        <item x="71"/>
        <item x="444"/>
        <item x="457"/>
        <item x="300"/>
        <item x="179"/>
        <item x="84"/>
        <item x="513"/>
        <item x="530"/>
        <item x="102"/>
        <item x="519"/>
        <item x="260"/>
        <item x="5"/>
        <item x="214"/>
        <item x="609"/>
        <item x="591"/>
        <item x="331"/>
        <item x="613"/>
        <item x="31"/>
        <item x="397"/>
        <item x="500"/>
        <item x="285"/>
        <item x="149"/>
        <item x="193"/>
        <item x="436"/>
        <item x="3"/>
        <item x="473"/>
        <item x="408"/>
        <item x="24"/>
        <item x="198"/>
        <item x="190"/>
        <item x="11"/>
        <item x="593"/>
        <item x="314"/>
        <item x="240"/>
        <item x="108"/>
        <item x="409"/>
        <item x="562"/>
        <item x="550"/>
        <item x="578"/>
        <item x="493"/>
        <item x="20"/>
        <item x="231"/>
        <item x="410"/>
        <item x="148"/>
        <item x="196"/>
        <item x="587"/>
        <item x="318"/>
        <item x="174"/>
        <item x="65"/>
        <item x="365"/>
        <item x="295"/>
        <item x="227"/>
        <item x="13"/>
        <item x="255"/>
        <item x="467"/>
        <item x="539"/>
        <item x="610"/>
        <item x="393"/>
        <item x="405"/>
        <item x="4"/>
        <item x="265"/>
        <item x="191"/>
        <item x="14"/>
        <item x="474"/>
        <item x="440"/>
        <item x="175"/>
        <item x="10"/>
        <item x="334"/>
        <item x="139"/>
        <item x="98"/>
        <item x="222"/>
        <item x="492"/>
        <item x="349"/>
        <item x="359"/>
        <item x="51"/>
        <item x="545"/>
        <item x="122"/>
        <item x="297"/>
        <item x="589"/>
        <item x="555"/>
        <item x="188"/>
        <item x="249"/>
        <item x="420"/>
        <item x="313"/>
        <item x="399"/>
        <item x="26"/>
        <item x="130"/>
        <item x="234"/>
        <item x="245"/>
        <item x="35"/>
        <item x="138"/>
        <item x="75"/>
        <item x="371"/>
        <item x="150"/>
        <item x="443"/>
        <item x="375"/>
        <item x="49"/>
        <item x="477"/>
        <item x="523"/>
        <item x="301"/>
        <item x="80"/>
        <item x="252"/>
        <item x="428"/>
        <item x="506"/>
        <item x="327"/>
        <item x="254"/>
        <item x="208"/>
        <item x="306"/>
        <item x="512"/>
        <item x="581"/>
        <item x="308"/>
        <item x="470"/>
        <item x="425"/>
        <item x="39"/>
        <item x="577"/>
        <item x="546"/>
        <item x="155"/>
        <item x="445"/>
        <item x="145"/>
        <item x="462"/>
        <item x="557"/>
        <item x="494"/>
        <item x="315"/>
        <item x="187"/>
        <item x="369"/>
        <item x="590"/>
        <item x="540"/>
        <item x="413"/>
        <item x="611"/>
        <item x="337"/>
        <item x="515"/>
        <item x="491"/>
        <item x="110"/>
        <item x="528"/>
        <item x="58"/>
        <item x="125"/>
        <item x="482"/>
        <item x="366"/>
        <item x="43"/>
        <item x="6"/>
        <item x="140"/>
        <item x="476"/>
        <item x="259"/>
        <item x="163"/>
        <item x="344"/>
        <item x="69"/>
        <item x="368"/>
        <item x="164"/>
        <item x="356"/>
        <item x="403"/>
        <item x="432"/>
        <item x="433"/>
        <item x="617"/>
        <item x="137"/>
        <item x="127"/>
        <item x="376"/>
        <item x="90"/>
        <item x="287"/>
        <item x="604"/>
        <item x="535"/>
        <item x="592"/>
        <item x="116"/>
        <item x="320"/>
        <item x="15"/>
        <item x="166"/>
        <item x="601"/>
        <item x="279"/>
        <item x="123"/>
        <item x="263"/>
        <item x="401"/>
        <item x="563"/>
        <item x="19"/>
        <item x="229"/>
        <item x="261"/>
        <item x="180"/>
        <item x="586"/>
        <item x="181"/>
        <item x="317"/>
        <item x="364"/>
        <item x="47"/>
        <item x="332"/>
        <item x="573"/>
        <item x="305"/>
        <item x="159"/>
        <item x="147"/>
        <item x="83"/>
        <item x="207"/>
        <item x="165"/>
        <item x="316"/>
        <item x="292"/>
        <item x="358"/>
        <item x="131"/>
        <item x="398"/>
        <item x="537"/>
        <item x="531"/>
        <item x="220"/>
        <item x="172"/>
        <item x="109"/>
        <item x="325"/>
        <item x="158"/>
        <item x="113"/>
        <item x="219"/>
        <item x="450"/>
        <item x="280"/>
        <item x="385"/>
        <item x="32"/>
        <item x="348"/>
        <item x="107"/>
        <item x="298"/>
        <item x="505"/>
        <item x="404"/>
        <item x="206"/>
        <item x="186"/>
        <item x="309"/>
        <item x="422"/>
        <item x="209"/>
        <item x="119"/>
        <item x="542"/>
        <item x="600"/>
        <item x="143"/>
        <item x="355"/>
        <item x="518"/>
        <item x="616"/>
        <item x="386"/>
        <item x="330"/>
        <item x="598"/>
        <item x="446"/>
        <item x="353"/>
        <item x="483"/>
        <item x="520"/>
        <item x="267"/>
        <item x="154"/>
        <item x="497"/>
        <item x="596"/>
        <item x="30"/>
        <item x="323"/>
        <item x="157"/>
        <item x="100"/>
        <item x="173"/>
        <item x="289"/>
        <item x="387"/>
        <item x="417"/>
        <item x="246"/>
        <item x="441"/>
        <item x="144"/>
        <item x="74"/>
        <item x="508"/>
        <item x="8"/>
        <item x="459"/>
        <item x="59"/>
        <item x="293"/>
        <item x="437"/>
        <item x="430"/>
        <item x="553"/>
        <item x="203"/>
        <item x="118"/>
        <item x="343"/>
        <item x="453"/>
        <item x="77"/>
        <item x="390"/>
        <item x="455"/>
        <item x="62"/>
        <item x="607"/>
        <item x="307"/>
        <item x="277"/>
        <item x="273"/>
        <item x="339"/>
        <item x="466"/>
        <item x="481"/>
        <item x="517"/>
        <item x="485"/>
        <item x="463"/>
        <item x="552"/>
        <item x="132"/>
        <item x="195"/>
        <item x="275"/>
        <item x="389"/>
        <item x="458"/>
        <item x="341"/>
        <item x="602"/>
        <item x="570"/>
        <item x="606"/>
        <item x="363"/>
        <item x="490"/>
        <item x="345"/>
        <item x="17"/>
        <item x="419"/>
        <item x="423"/>
        <item x="264"/>
        <item x="620"/>
        <item x="574"/>
        <item x="472"/>
        <item x="185"/>
        <item x="276"/>
        <item x="96"/>
        <item x="302"/>
        <item x="48"/>
        <item x="121"/>
        <item x="614"/>
        <item x="576"/>
        <item x="233"/>
        <item x="487"/>
        <item x="183"/>
        <item x="480"/>
        <item x="414"/>
        <item x="101"/>
        <item x="168"/>
        <item x="400"/>
        <item x="312"/>
        <item x="510"/>
        <item x="538"/>
        <item x="239"/>
        <item x="379"/>
        <item x="126"/>
        <item x="571"/>
        <item x="281"/>
        <item x="111"/>
        <item x="421"/>
        <item x="322"/>
        <item x="235"/>
        <item x="93"/>
        <item x="134"/>
        <item x="286"/>
        <item x="543"/>
        <item x="170"/>
        <item x="380"/>
        <item x="189"/>
        <item x="442"/>
        <item x="382"/>
        <item x="579"/>
        <item x="194"/>
        <item x="567"/>
        <item x="85"/>
        <item x="78"/>
        <item x="97"/>
        <item x="224"/>
        <item x="319"/>
        <item x="114"/>
        <item x="216"/>
        <item x="243"/>
        <item x="95"/>
        <item x="566"/>
        <item x="160"/>
        <item x="36"/>
        <item x="52"/>
        <item x="469"/>
        <item x="38"/>
        <item x="86"/>
        <item x="94"/>
        <item x="526"/>
        <item x="152"/>
        <item x="471"/>
        <item x="416"/>
        <item x="129"/>
        <item x="272"/>
        <item x="572"/>
        <item x="352"/>
        <item x="176"/>
        <item x="541"/>
        <item x="37"/>
        <item x="103"/>
        <item x="461"/>
        <item x="12"/>
        <item x="40"/>
        <item x="597"/>
        <item x="68"/>
        <item x="547"/>
        <item x="136"/>
        <item x="549"/>
        <item x="16"/>
        <item x="274"/>
        <item x="87"/>
        <item x="434"/>
        <item x="73"/>
        <item x="63"/>
        <item x="451"/>
        <item x="60"/>
        <item x="395"/>
        <item x="45"/>
        <item x="489"/>
        <item x="354"/>
        <item x="120"/>
        <item x="299"/>
        <item x="378"/>
        <item x="333"/>
        <item x="88"/>
        <item x="388"/>
        <item x="511"/>
        <item x="223"/>
        <item x="212"/>
        <item x="104"/>
        <item x="54"/>
        <item x="66"/>
        <item x="514"/>
        <item x="167"/>
        <item x="412"/>
        <item x="117"/>
        <item x="431"/>
        <item x="182"/>
        <item x="211"/>
        <item x="370"/>
        <item x="585"/>
        <item x="475"/>
        <item x="560"/>
        <item x="283"/>
        <item x="266"/>
        <item x="215"/>
        <item x="9"/>
        <item x="268"/>
        <item x="372"/>
        <item x="452"/>
        <item x="0"/>
        <item x="278"/>
        <item x="161"/>
        <item x="488"/>
        <item x="141"/>
        <item x="524"/>
        <item x="426"/>
        <item x="561"/>
        <item x="456"/>
        <item x="449"/>
        <item x="435"/>
        <item x="112"/>
        <item x="55"/>
        <item x="406"/>
        <item x="1"/>
        <item x="468"/>
        <item x="619"/>
        <item x="18"/>
        <item x="603"/>
        <item x="57"/>
        <item x="201"/>
        <item x="565"/>
        <item x="253"/>
        <item x="232"/>
        <item x="465"/>
        <item x="582"/>
        <item x="7"/>
        <item x="290"/>
        <item x="124"/>
        <item x="595"/>
        <item x="271"/>
        <item x="429"/>
        <item x="575"/>
        <item x="569"/>
        <item x="53"/>
        <item x="418"/>
        <item x="338"/>
        <item x="27"/>
        <item x="396"/>
        <item x="479"/>
        <item x="357"/>
        <item x="169"/>
        <item x="438"/>
        <item x="347"/>
        <item x="527"/>
        <item x="564"/>
        <item x="558"/>
        <item x="221"/>
        <item x="29"/>
        <item x="151"/>
        <item x="226"/>
        <item x="529"/>
        <item x="72"/>
        <item x="248"/>
        <item x="534"/>
        <item x="424"/>
        <item x="256"/>
        <item x="384"/>
        <item x="135"/>
        <item x="373"/>
        <item x="556"/>
        <item x="133"/>
        <item x="612"/>
        <item x="460"/>
        <item x="374"/>
        <item x="361"/>
        <item x="269"/>
        <item x="105"/>
        <item x="218"/>
        <item x="321"/>
        <item x="392"/>
        <item x="236"/>
        <item x="99"/>
        <item x="217"/>
        <item x="199"/>
        <item x="162"/>
        <item x="70"/>
        <item x="241"/>
        <item x="310"/>
        <item x="202"/>
        <item x="177"/>
        <item x="2"/>
        <item x="507"/>
        <item x="367"/>
        <item x="568"/>
        <item x="204"/>
        <item x="296"/>
        <item x="153"/>
        <item x="346"/>
        <item x="559"/>
        <item x="82"/>
        <item x="525"/>
        <item x="360"/>
        <item x="501"/>
        <item x="197"/>
        <item x="156"/>
        <item x="335"/>
        <item x="44"/>
        <item x="171"/>
        <item x="383"/>
        <item x="270"/>
        <item x="23"/>
        <item x="551"/>
        <item x="499"/>
        <item x="34"/>
        <item x="351"/>
        <item x="192"/>
        <item x="250"/>
        <item x="521"/>
        <item x="381"/>
        <item x="608"/>
        <item x="329"/>
        <item x="237"/>
        <item x="402"/>
        <item x="92"/>
        <item x="50"/>
        <item x="509"/>
        <item x="146"/>
        <item x="41"/>
        <item x="128"/>
        <item x="242"/>
        <item x="25"/>
        <item x="294"/>
        <item x="464"/>
        <item x="599"/>
        <item x="621"/>
        <item x="536"/>
        <item x="583"/>
        <item x="61"/>
        <item x="288"/>
        <item x="56"/>
        <item x="64"/>
        <item x="532"/>
        <item x="516"/>
        <item x="502"/>
        <item x="258"/>
        <item x="504"/>
        <item x="336"/>
        <item x="205"/>
        <item x="91"/>
        <item x="548"/>
        <item x="496"/>
        <item x="415"/>
        <item x="503"/>
        <item x="391"/>
        <item x="284"/>
        <item x="618"/>
        <item x="251"/>
        <item x="439"/>
        <item x="291"/>
        <item x="184"/>
        <item x="522"/>
        <item x="615"/>
        <item x="311"/>
        <item x="262"/>
        <item x="448"/>
        <item x="486"/>
        <item x="394"/>
        <item x="407"/>
        <item x="594"/>
        <item x="257"/>
        <item x="142"/>
        <item x="588"/>
        <item x="228"/>
        <item x="79"/>
        <item x="495"/>
        <item x="498"/>
        <item x="326"/>
        <item x="244"/>
        <item t="default"/>
      </items>
    </pivotField>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6">
        <item x="0"/>
        <item x="1"/>
        <item x="2"/>
        <item x="3"/>
        <item x="4"/>
        <item x="5"/>
      </items>
    </pivotField>
  </pivotFields>
  <rowFields count="1">
    <field x="14"/>
  </rowFields>
  <rowItems count="5">
    <i>
      <x/>
    </i>
    <i>
      <x v="2"/>
    </i>
    <i>
      <x v="1"/>
    </i>
    <i>
      <x v="3"/>
    </i>
    <i t="grand">
      <x/>
    </i>
  </rowItems>
  <colItems count="1">
    <i/>
  </colItems>
  <dataFields count="1">
    <dataField name="Average of Interest_Rate_%" fld="5" subtotal="average" baseField="14" baseItem="0"/>
  </dataFields>
  <formats count="1">
    <format dxfId="2">
      <pivotArea collapsedLevelsAreSubtotals="1" fieldPosition="0">
        <references count="1">
          <reference field="14" count="0"/>
        </references>
      </pivotArea>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4" count="1" selected="0">
            <x v="2"/>
          </reference>
        </references>
      </pivotArea>
    </chartFormat>
    <chartFormat chart="2" format="4">
      <pivotArea type="data" outline="0" fieldPosition="0">
        <references count="2">
          <reference field="4294967294" count="1" selected="0">
            <x v="0"/>
          </reference>
          <reference field="14" count="1" selected="0">
            <x v="1"/>
          </reference>
        </references>
      </pivotArea>
    </chartFormat>
    <chartFormat chart="2" format="5">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BDE6FF-2A3E-44CE-BA38-C11B9CADB8B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3:B31" firstHeaderRow="1" firstDataRow="1" firstDataCol="1"/>
  <pivotFields count="17">
    <pivotField showAll="0"/>
    <pivotField showAll="0">
      <items count="11">
        <item x="2"/>
        <item x="3"/>
        <item x="5"/>
        <item x="1"/>
        <item x="8"/>
        <item x="6"/>
        <item x="4"/>
        <item x="9"/>
        <item x="0"/>
        <item x="7"/>
        <item t="default"/>
      </items>
    </pivotField>
    <pivotField showAll="0"/>
    <pivotField axis="axisRow" showAll="0" sortType="descending">
      <items count="8">
        <item x="1"/>
        <item x="5"/>
        <item x="2"/>
        <item x="3"/>
        <item x="6"/>
        <item x="0"/>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items count="5">
        <item x="3"/>
        <item x="0"/>
        <item x="1"/>
        <item x="2"/>
        <item t="default"/>
      </items>
    </pivotField>
    <pivotField showAll="0"/>
    <pivotField showAll="0"/>
    <pivotField showAll="0">
      <items count="5">
        <item x="2"/>
        <item x="1"/>
        <item x="3"/>
        <item x="0"/>
        <item t="default"/>
      </items>
    </pivotField>
    <pivotField showAll="0">
      <items count="1245">
        <item m="1" x="904"/>
        <item m="1" x="847"/>
        <item m="1" x="1033"/>
        <item m="1" x="728"/>
        <item m="1" x="835"/>
        <item m="1" x="926"/>
        <item m="1" x="655"/>
        <item m="1" x="946"/>
        <item m="1" x="972"/>
        <item m="1" x="644"/>
        <item m="1" x="869"/>
        <item m="1" x="664"/>
        <item m="1" x="1100"/>
        <item m="1" x="984"/>
        <item m="1" x="737"/>
        <item m="1" x="711"/>
        <item m="1" x="860"/>
        <item m="1" x="643"/>
        <item m="1" x="1227"/>
        <item m="1" x="1069"/>
        <item m="1" x="800"/>
        <item m="1" x="650"/>
        <item m="1" x="1076"/>
        <item m="1" x="822"/>
        <item m="1" x="703"/>
        <item m="1" x="1049"/>
        <item m="1" x="1166"/>
        <item m="1" x="1206"/>
        <item m="1" x="1176"/>
        <item m="1" x="852"/>
        <item m="1" x="950"/>
        <item m="1" x="1106"/>
        <item m="1" x="999"/>
        <item m="1" x="698"/>
        <item m="1" x="832"/>
        <item m="1" x="1202"/>
        <item m="1" x="964"/>
        <item m="1" x="925"/>
        <item m="1" x="1155"/>
        <item m="1" x="668"/>
        <item m="1" x="689"/>
        <item m="1" x="962"/>
        <item m="1" x="693"/>
        <item m="1" x="1066"/>
        <item m="1" x="1079"/>
        <item m="1" x="922"/>
        <item m="1" x="801"/>
        <item m="1" x="706"/>
        <item m="1" x="1135"/>
        <item m="1" x="1152"/>
        <item m="1" x="724"/>
        <item m="1" x="1141"/>
        <item m="1" x="882"/>
        <item m="1" x="627"/>
        <item m="1" x="836"/>
        <item m="1" x="1231"/>
        <item m="1" x="1213"/>
        <item m="1" x="953"/>
        <item m="1" x="1235"/>
        <item m="1" x="653"/>
        <item m="1" x="1019"/>
        <item m="1" x="1122"/>
        <item m="1" x="907"/>
        <item m="1" x="771"/>
        <item m="1" x="815"/>
        <item m="1" x="1058"/>
        <item m="1" x="625"/>
        <item m="1" x="1095"/>
        <item m="1" x="1030"/>
        <item m="1" x="646"/>
        <item m="1" x="820"/>
        <item m="1" x="812"/>
        <item m="1" x="633"/>
        <item m="1" x="1215"/>
        <item m="1" x="936"/>
        <item m="1" x="862"/>
        <item m="1" x="730"/>
        <item m="1" x="1031"/>
        <item m="1" x="1184"/>
        <item m="1" x="1172"/>
        <item m="1" x="1200"/>
        <item m="1" x="1115"/>
        <item m="1" x="642"/>
        <item m="1" x="853"/>
        <item m="1" x="1032"/>
        <item m="1" x="770"/>
        <item m="1" x="818"/>
        <item m="1" x="1209"/>
        <item m="1" x="940"/>
        <item m="1" x="796"/>
        <item m="1" x="687"/>
        <item m="1" x="987"/>
        <item m="1" x="917"/>
        <item m="1" x="849"/>
        <item m="1" x="635"/>
        <item m="1" x="877"/>
        <item m="1" x="1089"/>
        <item m="1" x="1161"/>
        <item m="1" x="1232"/>
        <item m="1" x="1015"/>
        <item m="1" x="1027"/>
        <item m="1" x="626"/>
        <item m="1" x="887"/>
        <item m="1" x="813"/>
        <item m="1" x="636"/>
        <item m="1" x="1096"/>
        <item m="1" x="1062"/>
        <item m="1" x="797"/>
        <item m="1" x="632"/>
        <item m="1" x="956"/>
        <item m="1" x="761"/>
        <item m="1" x="720"/>
        <item m="1" x="844"/>
        <item m="1" x="1114"/>
        <item m="1" x="971"/>
        <item m="1" x="981"/>
        <item m="1" x="673"/>
        <item m="1" x="1167"/>
        <item m="1" x="744"/>
        <item m="1" x="919"/>
        <item m="1" x="1211"/>
        <item m="1" x="1177"/>
        <item m="1" x="810"/>
        <item m="1" x="871"/>
        <item m="1" x="1042"/>
        <item m="1" x="935"/>
        <item m="1" x="1021"/>
        <item m="1" x="648"/>
        <item m="1" x="752"/>
        <item m="1" x="856"/>
        <item m="1" x="867"/>
        <item m="1" x="657"/>
        <item m="1" x="760"/>
        <item m="1" x="697"/>
        <item m="1" x="993"/>
        <item m="1" x="772"/>
        <item m="1" x="1065"/>
        <item m="1" x="997"/>
        <item m="1" x="671"/>
        <item m="1" x="1099"/>
        <item m="1" x="1145"/>
        <item m="1" x="923"/>
        <item m="1" x="702"/>
        <item m="1" x="874"/>
        <item m="1" x="1050"/>
        <item m="1" x="1128"/>
        <item m="1" x="949"/>
        <item m="1" x="876"/>
        <item m="1" x="830"/>
        <item m="1" x="928"/>
        <item m="1" x="1134"/>
        <item m="1" x="1203"/>
        <item m="1" x="930"/>
        <item m="1" x="1092"/>
        <item m="1" x="1047"/>
        <item m="1" x="661"/>
        <item m="1" x="1199"/>
        <item m="1" x="1168"/>
        <item m="1" x="777"/>
        <item m="1" x="1067"/>
        <item m="1" x="767"/>
        <item m="1" x="1084"/>
        <item m="1" x="1179"/>
        <item m="1" x="1116"/>
        <item m="1" x="937"/>
        <item m="1" x="809"/>
        <item m="1" x="991"/>
        <item m="1" x="1212"/>
        <item m="1" x="1162"/>
        <item m="1" x="1035"/>
        <item m="1" x="1233"/>
        <item m="1" x="959"/>
        <item m="1" x="1137"/>
        <item m="1" x="1113"/>
        <item m="1" x="732"/>
        <item m="1" x="1150"/>
        <item m="1" x="680"/>
        <item m="1" x="747"/>
        <item m="1" x="1104"/>
        <item m="1" x="988"/>
        <item m="1" x="665"/>
        <item m="1" x="628"/>
        <item m="1" x="762"/>
        <item m="1" x="1098"/>
        <item m="1" x="881"/>
        <item m="1" x="785"/>
        <item m="1" x="966"/>
        <item m="1" x="691"/>
        <item m="1" x="990"/>
        <item m="1" x="786"/>
        <item m="1" x="978"/>
        <item m="1" x="1025"/>
        <item m="1" x="1054"/>
        <item m="1" x="1055"/>
        <item m="1" x="1239"/>
        <item m="1" x="759"/>
        <item m="1" x="749"/>
        <item m="1" x="998"/>
        <item m="1" x="712"/>
        <item m="1" x="909"/>
        <item m="1" x="1226"/>
        <item m="1" x="1157"/>
        <item m="1" x="1214"/>
        <item m="1" x="738"/>
        <item m="1" x="942"/>
        <item m="1" x="637"/>
        <item m="1" x="788"/>
        <item m="1" x="1223"/>
        <item m="1" x="901"/>
        <item m="1" x="745"/>
        <item m="1" x="885"/>
        <item m="1" x="1023"/>
        <item m="1" x="1185"/>
        <item m="1" x="641"/>
        <item m="1" x="851"/>
        <item m="1" x="883"/>
        <item m="1" x="802"/>
        <item m="1" x="1208"/>
        <item m="1" x="803"/>
        <item m="1" x="939"/>
        <item m="1" x="986"/>
        <item m="1" x="669"/>
        <item m="1" x="954"/>
        <item m="1" x="1195"/>
        <item m="1" x="927"/>
        <item m="1" x="781"/>
        <item m="1" x="769"/>
        <item m="1" x="705"/>
        <item m="1" x="829"/>
        <item m="1" x="787"/>
        <item m="1" x="938"/>
        <item m="1" x="914"/>
        <item m="1" x="980"/>
        <item m="1" x="753"/>
        <item m="1" x="1020"/>
        <item m="1" x="1159"/>
        <item m="1" x="1153"/>
        <item m="1" x="842"/>
        <item m="1" x="794"/>
        <item m="1" x="731"/>
        <item m="1" x="947"/>
        <item m="1" x="780"/>
        <item m="1" x="735"/>
        <item m="1" x="841"/>
        <item m="1" x="1072"/>
        <item m="1" x="902"/>
        <item m="1" x="1007"/>
        <item m="1" x="654"/>
        <item m="1" x="970"/>
        <item m="1" x="729"/>
        <item m="1" x="920"/>
        <item m="1" x="1127"/>
        <item m="1" x="1026"/>
        <item m="1" x="828"/>
        <item m="1" x="808"/>
        <item m="1" x="931"/>
        <item m="1" x="1044"/>
        <item m="1" x="831"/>
        <item m="1" x="741"/>
        <item m="1" x="1164"/>
        <item m="1" x="1222"/>
        <item m="1" x="765"/>
        <item m="1" x="977"/>
        <item m="1" x="1140"/>
        <item m="1" x="1238"/>
        <item m="1" x="1008"/>
        <item m="1" x="952"/>
        <item m="1" x="1220"/>
        <item m="1" x="1068"/>
        <item m="1" x="975"/>
        <item m="1" x="1105"/>
        <item m="1" x="1142"/>
        <item m="1" x="889"/>
        <item m="1" x="776"/>
        <item m="1" x="1119"/>
        <item m="1" x="1218"/>
        <item m="1" x="652"/>
        <item m="1" x="945"/>
        <item m="1" x="779"/>
        <item m="1" x="722"/>
        <item m="1" x="795"/>
        <item m="1" x="911"/>
        <item m="1" x="1009"/>
        <item m="1" x="1039"/>
        <item m="1" x="868"/>
        <item m="1" x="1063"/>
        <item m="1" x="766"/>
        <item m="1" x="696"/>
        <item m="1" x="1130"/>
        <item m="1" x="630"/>
        <item m="1" x="1081"/>
        <item m="1" x="681"/>
        <item m="1" x="915"/>
        <item m="1" x="1059"/>
        <item m="1" x="1052"/>
        <item m="1" x="1175"/>
        <item m="1" x="825"/>
        <item m="1" x="740"/>
        <item m="1" x="965"/>
        <item m="1" x="1075"/>
        <item m="1" x="699"/>
        <item m="1" x="1012"/>
        <item m="1" x="1077"/>
        <item m="1" x="684"/>
        <item m="1" x="1229"/>
        <item m="1" x="929"/>
        <item m="1" x="899"/>
        <item m="1" x="895"/>
        <item m="1" x="961"/>
        <item m="1" x="1088"/>
        <item m="1" x="1103"/>
        <item m="1" x="1139"/>
        <item m="1" x="1107"/>
        <item m="1" x="1085"/>
        <item m="1" x="1174"/>
        <item m="1" x="754"/>
        <item m="1" x="817"/>
        <item m="1" x="897"/>
        <item m="1" x="1011"/>
        <item m="1" x="1080"/>
        <item m="1" x="963"/>
        <item m="1" x="1224"/>
        <item m="1" x="1192"/>
        <item m="1" x="1228"/>
        <item m="1" x="985"/>
        <item m="1" x="1112"/>
        <item m="1" x="967"/>
        <item m="1" x="639"/>
        <item m="1" x="1041"/>
        <item m="1" x="1045"/>
        <item m="1" x="886"/>
        <item m="1" x="1242"/>
        <item m="1" x="1196"/>
        <item m="1" x="1094"/>
        <item m="1" x="807"/>
        <item m="1" x="898"/>
        <item m="1" x="718"/>
        <item m="1" x="924"/>
        <item m="1" x="670"/>
        <item m="1" x="743"/>
        <item m="1" x="1236"/>
        <item m="1" x="1198"/>
        <item m="1" x="855"/>
        <item m="1" x="1109"/>
        <item m="1" x="805"/>
        <item m="1" x="1102"/>
        <item m="1" x="1036"/>
        <item m="1" x="723"/>
        <item m="1" x="790"/>
        <item m="1" x="1022"/>
        <item m="1" x="934"/>
        <item m="1" x="1132"/>
        <item m="1" x="1160"/>
        <item m="1" x="861"/>
        <item m="1" x="1001"/>
        <item m="1" x="748"/>
        <item m="1" x="1193"/>
        <item m="1" x="903"/>
        <item m="1" x="733"/>
        <item m="1" x="1043"/>
        <item m="1" x="944"/>
        <item m="1" x="857"/>
        <item m="1" x="715"/>
        <item m="1" x="756"/>
        <item m="1" x="908"/>
        <item m="1" x="1165"/>
        <item m="1" x="792"/>
        <item m="1" x="1002"/>
        <item m="1" x="811"/>
        <item m="1" x="1064"/>
        <item m="1" x="1004"/>
        <item m="1" x="1201"/>
        <item m="1" x="816"/>
        <item m="1" x="1189"/>
        <item m="1" x="707"/>
        <item m="1" x="700"/>
        <item m="1" x="719"/>
        <item m="1" x="846"/>
        <item m="1" x="941"/>
        <item m="1" x="736"/>
        <item m="1" x="838"/>
        <item m="1" x="865"/>
        <item m="1" x="717"/>
        <item m="1" x="1188"/>
        <item m="1" x="782"/>
        <item m="1" x="658"/>
        <item m="1" x="674"/>
        <item m="1" x="1091"/>
        <item m="1" x="660"/>
        <item m="1" x="708"/>
        <item m="1" x="716"/>
        <item m="1" x="1148"/>
        <item m="1" x="774"/>
        <item m="1" x="1093"/>
        <item m="1" x="1038"/>
        <item m="1" x="751"/>
        <item m="1" x="894"/>
        <item m="1" x="1194"/>
        <item m="1" x="974"/>
        <item m="1" x="798"/>
        <item m="1" x="1163"/>
        <item m="1" x="659"/>
        <item m="1" x="725"/>
        <item m="1" x="1083"/>
        <item m="1" x="634"/>
        <item m="1" x="662"/>
        <item m="1" x="1219"/>
        <item m="1" x="690"/>
        <item m="1" x="1169"/>
        <item m="1" x="758"/>
        <item m="1" x="1171"/>
        <item m="1" x="638"/>
        <item m="1" x="896"/>
        <item m="1" x="709"/>
        <item m="1" x="1056"/>
        <item m="1" x="695"/>
        <item m="1" x="685"/>
        <item m="1" x="1073"/>
        <item m="1" x="682"/>
        <item m="1" x="1017"/>
        <item m="1" x="667"/>
        <item m="1" x="1111"/>
        <item m="1" x="976"/>
        <item m="1" x="742"/>
        <item m="1" x="921"/>
        <item m="1" x="1000"/>
        <item m="1" x="955"/>
        <item m="1" x="710"/>
        <item m="1" x="1010"/>
        <item m="1" x="1133"/>
        <item m="1" x="845"/>
        <item m="1" x="834"/>
        <item m="1" x="726"/>
        <item m="1" x="676"/>
        <item m="1" x="688"/>
        <item m="1" x="1136"/>
        <item m="1" x="789"/>
        <item m="1" x="1034"/>
        <item m="1" x="739"/>
        <item m="1" x="1053"/>
        <item m="1" x="804"/>
        <item m="1" x="833"/>
        <item m="1" x="992"/>
        <item m="1" x="1207"/>
        <item m="1" x="1097"/>
        <item m="1" x="1182"/>
        <item m="1" x="905"/>
        <item m="1" x="888"/>
        <item m="1" x="837"/>
        <item m="1" x="631"/>
        <item m="1" x="890"/>
        <item m="1" x="994"/>
        <item m="1" x="1074"/>
        <item m="1" x="622"/>
        <item m="1" x="900"/>
        <item m="1" x="783"/>
        <item m="1" x="1110"/>
        <item m="1" x="763"/>
        <item m="1" x="1146"/>
        <item m="1" x="1048"/>
        <item m="1" x="1183"/>
        <item m="1" x="1078"/>
        <item m="1" x="1071"/>
        <item m="1" x="1057"/>
        <item m="1" x="734"/>
        <item m="1" x="677"/>
        <item m="1" x="1028"/>
        <item m="1" x="623"/>
        <item m="1" x="1090"/>
        <item m="1" x="1241"/>
        <item m="1" x="640"/>
        <item m="1" x="1225"/>
        <item m="1" x="679"/>
        <item m="1" x="823"/>
        <item m="1" x="1187"/>
        <item m="1" x="875"/>
        <item m="1" x="854"/>
        <item m="1" x="1087"/>
        <item m="1" x="1204"/>
        <item m="1" x="629"/>
        <item m="1" x="912"/>
        <item m="1" x="746"/>
        <item m="1" x="1217"/>
        <item m="1" x="893"/>
        <item m="1" x="1051"/>
        <item m="1" x="1197"/>
        <item m="1" x="1191"/>
        <item m="1" x="675"/>
        <item m="1" x="1040"/>
        <item m="1" x="960"/>
        <item m="1" x="649"/>
        <item m="1" x="1018"/>
        <item m="1" x="1101"/>
        <item m="1" x="979"/>
        <item m="1" x="791"/>
        <item m="1" x="1060"/>
        <item m="1" x="969"/>
        <item m="1" x="1149"/>
        <item m="1" x="1186"/>
        <item m="1" x="1180"/>
        <item m="1" x="843"/>
        <item m="1" x="651"/>
        <item m="1" x="773"/>
        <item m="1" x="848"/>
        <item m="1" x="1151"/>
        <item m="1" x="694"/>
        <item m="1" x="870"/>
        <item m="1" x="1156"/>
        <item m="1" x="1046"/>
        <item m="1" x="878"/>
        <item m="1" x="1006"/>
        <item m="1" x="757"/>
        <item m="1" x="995"/>
        <item m="1" x="1178"/>
        <item m="1" x="755"/>
        <item m="1" x="1234"/>
        <item m="1" x="1082"/>
        <item m="1" x="996"/>
        <item m="1" x="983"/>
        <item m="1" x="891"/>
        <item m="1" x="727"/>
        <item m="1" x="840"/>
        <item m="1" x="943"/>
        <item m="1" x="1014"/>
        <item m="1" x="858"/>
        <item m="1" x="721"/>
        <item m="1" x="839"/>
        <item m="1" x="821"/>
        <item m="1" x="784"/>
        <item m="1" x="692"/>
        <item m="1" x="863"/>
        <item m="1" x="932"/>
        <item m="1" x="824"/>
        <item m="1" x="799"/>
        <item m="1" x="624"/>
        <item m="1" x="1129"/>
        <item m="1" x="989"/>
        <item m="1" x="1190"/>
        <item m="1" x="826"/>
        <item m="1" x="918"/>
        <item m="1" x="775"/>
        <item m="1" x="968"/>
        <item m="1" x="1181"/>
        <item m="1" x="704"/>
        <item m="1" x="1147"/>
        <item m="1" x="982"/>
        <item m="1" x="1123"/>
        <item m="1" x="819"/>
        <item m="1" x="778"/>
        <item m="1" x="957"/>
        <item m="1" x="666"/>
        <item m="1" x="793"/>
        <item m="1" x="1005"/>
        <item m="1" x="892"/>
        <item m="1" x="645"/>
        <item m="1" x="1173"/>
        <item m="1" x="1121"/>
        <item m="1" x="656"/>
        <item m="1" x="973"/>
        <item m="1" x="814"/>
        <item m="1" x="872"/>
        <item m="1" x="1143"/>
        <item m="1" x="1003"/>
        <item m="1" x="1230"/>
        <item m="1" x="951"/>
        <item m="1" x="859"/>
        <item m="1" x="1024"/>
        <item m="1" x="714"/>
        <item m="1" x="672"/>
        <item m="1" x="1131"/>
        <item m="1" x="768"/>
        <item m="1" x="663"/>
        <item m="1" x="750"/>
        <item m="1" x="864"/>
        <item m="1" x="647"/>
        <item m="1" x="916"/>
        <item m="1" x="1086"/>
        <item m="1" x="1221"/>
        <item m="1" x="1243"/>
        <item m="1" x="1158"/>
        <item m="1" x="1205"/>
        <item m="1" x="683"/>
        <item m="1" x="910"/>
        <item m="1" x="678"/>
        <item m="1" x="686"/>
        <item m="1" x="1154"/>
        <item m="1" x="1138"/>
        <item m="1" x="1124"/>
        <item m="1" x="880"/>
        <item m="1" x="1126"/>
        <item m="1" x="958"/>
        <item m="1" x="827"/>
        <item m="1" x="713"/>
        <item m="1" x="1170"/>
        <item m="1" x="1118"/>
        <item m="1" x="1037"/>
        <item m="1" x="1125"/>
        <item m="1" x="1013"/>
        <item m="1" x="906"/>
        <item m="1" x="1240"/>
        <item m="1" x="873"/>
        <item m="1" x="1061"/>
        <item m="1" x="913"/>
        <item m="1" x="806"/>
        <item m="1" x="1144"/>
        <item m="1" x="1237"/>
        <item m="1" x="933"/>
        <item m="1" x="884"/>
        <item m="1" x="1070"/>
        <item m="1" x="1108"/>
        <item m="1" x="1016"/>
        <item m="1" x="1029"/>
        <item m="1" x="1216"/>
        <item m="1" x="879"/>
        <item m="1" x="764"/>
        <item m="1" x="1210"/>
        <item m="1" x="850"/>
        <item m="1" x="701"/>
        <item m="1" x="1117"/>
        <item m="1" x="1120"/>
        <item m="1" x="948"/>
        <item m="1" x="866"/>
        <item x="282"/>
        <item x="225"/>
        <item x="411"/>
        <item x="106"/>
        <item x="213"/>
        <item x="304"/>
        <item x="33"/>
        <item x="324"/>
        <item x="350"/>
        <item x="22"/>
        <item x="247"/>
        <item x="42"/>
        <item x="478"/>
        <item x="362"/>
        <item x="115"/>
        <item x="89"/>
        <item x="238"/>
        <item x="21"/>
        <item x="605"/>
        <item x="447"/>
        <item x="178"/>
        <item x="28"/>
        <item x="454"/>
        <item x="200"/>
        <item x="81"/>
        <item x="427"/>
        <item x="544"/>
        <item x="584"/>
        <item x="554"/>
        <item x="230"/>
        <item x="328"/>
        <item x="484"/>
        <item x="377"/>
        <item x="76"/>
        <item x="210"/>
        <item x="580"/>
        <item x="342"/>
        <item x="303"/>
        <item x="533"/>
        <item x="46"/>
        <item x="67"/>
        <item x="340"/>
        <item x="71"/>
        <item x="444"/>
        <item x="457"/>
        <item x="300"/>
        <item x="179"/>
        <item x="84"/>
        <item x="513"/>
        <item x="530"/>
        <item x="102"/>
        <item x="519"/>
        <item x="260"/>
        <item x="5"/>
        <item x="214"/>
        <item x="609"/>
        <item x="591"/>
        <item x="331"/>
        <item x="613"/>
        <item x="31"/>
        <item x="397"/>
        <item x="500"/>
        <item x="285"/>
        <item x="149"/>
        <item x="193"/>
        <item x="436"/>
        <item x="3"/>
        <item x="473"/>
        <item x="408"/>
        <item x="24"/>
        <item x="198"/>
        <item x="190"/>
        <item x="11"/>
        <item x="593"/>
        <item x="314"/>
        <item x="240"/>
        <item x="108"/>
        <item x="409"/>
        <item x="562"/>
        <item x="550"/>
        <item x="578"/>
        <item x="493"/>
        <item x="20"/>
        <item x="231"/>
        <item x="410"/>
        <item x="148"/>
        <item x="196"/>
        <item x="587"/>
        <item x="318"/>
        <item x="174"/>
        <item x="65"/>
        <item x="365"/>
        <item x="295"/>
        <item x="227"/>
        <item x="13"/>
        <item x="255"/>
        <item x="467"/>
        <item x="539"/>
        <item x="610"/>
        <item x="393"/>
        <item x="405"/>
        <item x="4"/>
        <item x="265"/>
        <item x="191"/>
        <item x="14"/>
        <item x="474"/>
        <item x="440"/>
        <item x="175"/>
        <item x="10"/>
        <item x="334"/>
        <item x="139"/>
        <item x="98"/>
        <item x="222"/>
        <item x="492"/>
        <item x="349"/>
        <item x="359"/>
        <item x="51"/>
        <item x="545"/>
        <item x="122"/>
        <item x="297"/>
        <item x="589"/>
        <item x="555"/>
        <item x="188"/>
        <item x="249"/>
        <item x="420"/>
        <item x="313"/>
        <item x="399"/>
        <item x="26"/>
        <item x="130"/>
        <item x="234"/>
        <item x="245"/>
        <item x="35"/>
        <item x="138"/>
        <item x="75"/>
        <item x="371"/>
        <item x="150"/>
        <item x="443"/>
        <item x="375"/>
        <item x="49"/>
        <item x="477"/>
        <item x="523"/>
        <item x="301"/>
        <item x="80"/>
        <item x="252"/>
        <item x="428"/>
        <item x="506"/>
        <item x="327"/>
        <item x="254"/>
        <item x="208"/>
        <item x="306"/>
        <item x="512"/>
        <item x="581"/>
        <item x="308"/>
        <item x="470"/>
        <item x="425"/>
        <item x="39"/>
        <item x="577"/>
        <item x="546"/>
        <item x="155"/>
        <item x="445"/>
        <item x="145"/>
        <item x="462"/>
        <item x="557"/>
        <item x="494"/>
        <item x="315"/>
        <item x="187"/>
        <item x="369"/>
        <item x="590"/>
        <item x="540"/>
        <item x="413"/>
        <item x="611"/>
        <item x="337"/>
        <item x="515"/>
        <item x="491"/>
        <item x="110"/>
        <item x="528"/>
        <item x="58"/>
        <item x="125"/>
        <item x="482"/>
        <item x="366"/>
        <item x="43"/>
        <item x="6"/>
        <item x="140"/>
        <item x="476"/>
        <item x="259"/>
        <item x="163"/>
        <item x="344"/>
        <item x="69"/>
        <item x="368"/>
        <item x="164"/>
        <item x="356"/>
        <item x="403"/>
        <item x="432"/>
        <item x="433"/>
        <item x="617"/>
        <item x="137"/>
        <item x="127"/>
        <item x="376"/>
        <item x="90"/>
        <item x="287"/>
        <item x="604"/>
        <item x="535"/>
        <item x="592"/>
        <item x="116"/>
        <item x="320"/>
        <item x="15"/>
        <item x="166"/>
        <item x="601"/>
        <item x="279"/>
        <item x="123"/>
        <item x="263"/>
        <item x="401"/>
        <item x="563"/>
        <item x="19"/>
        <item x="229"/>
        <item x="261"/>
        <item x="180"/>
        <item x="586"/>
        <item x="181"/>
        <item x="317"/>
        <item x="364"/>
        <item x="47"/>
        <item x="332"/>
        <item x="573"/>
        <item x="305"/>
        <item x="159"/>
        <item x="147"/>
        <item x="83"/>
        <item x="207"/>
        <item x="165"/>
        <item x="316"/>
        <item x="292"/>
        <item x="358"/>
        <item x="131"/>
        <item x="398"/>
        <item x="537"/>
        <item x="531"/>
        <item x="220"/>
        <item x="172"/>
        <item x="109"/>
        <item x="325"/>
        <item x="158"/>
        <item x="113"/>
        <item x="219"/>
        <item x="450"/>
        <item x="280"/>
        <item x="385"/>
        <item x="32"/>
        <item x="348"/>
        <item x="107"/>
        <item x="298"/>
        <item x="505"/>
        <item x="404"/>
        <item x="206"/>
        <item x="186"/>
        <item x="309"/>
        <item x="422"/>
        <item x="209"/>
        <item x="119"/>
        <item x="542"/>
        <item x="600"/>
        <item x="143"/>
        <item x="355"/>
        <item x="518"/>
        <item x="616"/>
        <item x="386"/>
        <item x="330"/>
        <item x="598"/>
        <item x="446"/>
        <item x="353"/>
        <item x="483"/>
        <item x="520"/>
        <item x="267"/>
        <item x="154"/>
        <item x="497"/>
        <item x="596"/>
        <item x="30"/>
        <item x="323"/>
        <item x="157"/>
        <item x="100"/>
        <item x="173"/>
        <item x="289"/>
        <item x="387"/>
        <item x="417"/>
        <item x="246"/>
        <item x="441"/>
        <item x="144"/>
        <item x="74"/>
        <item x="508"/>
        <item x="8"/>
        <item x="459"/>
        <item x="59"/>
        <item x="293"/>
        <item x="437"/>
        <item x="430"/>
        <item x="553"/>
        <item x="203"/>
        <item x="118"/>
        <item x="343"/>
        <item x="453"/>
        <item x="77"/>
        <item x="390"/>
        <item x="455"/>
        <item x="62"/>
        <item x="607"/>
        <item x="307"/>
        <item x="277"/>
        <item x="273"/>
        <item x="339"/>
        <item x="466"/>
        <item x="481"/>
        <item x="517"/>
        <item x="485"/>
        <item x="463"/>
        <item x="552"/>
        <item x="132"/>
        <item x="195"/>
        <item x="275"/>
        <item x="389"/>
        <item x="458"/>
        <item x="341"/>
        <item x="602"/>
        <item x="570"/>
        <item x="606"/>
        <item x="363"/>
        <item x="490"/>
        <item x="345"/>
        <item x="17"/>
        <item x="419"/>
        <item x="423"/>
        <item x="264"/>
        <item x="620"/>
        <item x="574"/>
        <item x="472"/>
        <item x="185"/>
        <item x="276"/>
        <item x="96"/>
        <item x="302"/>
        <item x="48"/>
        <item x="121"/>
        <item x="614"/>
        <item x="576"/>
        <item x="233"/>
        <item x="487"/>
        <item x="183"/>
        <item x="480"/>
        <item x="414"/>
        <item x="101"/>
        <item x="168"/>
        <item x="400"/>
        <item x="312"/>
        <item x="510"/>
        <item x="538"/>
        <item x="239"/>
        <item x="379"/>
        <item x="126"/>
        <item x="571"/>
        <item x="281"/>
        <item x="111"/>
        <item x="421"/>
        <item x="322"/>
        <item x="235"/>
        <item x="93"/>
        <item x="134"/>
        <item x="286"/>
        <item x="543"/>
        <item x="170"/>
        <item x="380"/>
        <item x="189"/>
        <item x="442"/>
        <item x="382"/>
        <item x="579"/>
        <item x="194"/>
        <item x="567"/>
        <item x="85"/>
        <item x="78"/>
        <item x="97"/>
        <item x="224"/>
        <item x="319"/>
        <item x="114"/>
        <item x="216"/>
        <item x="243"/>
        <item x="95"/>
        <item x="566"/>
        <item x="160"/>
        <item x="36"/>
        <item x="52"/>
        <item x="469"/>
        <item x="38"/>
        <item x="86"/>
        <item x="94"/>
        <item x="526"/>
        <item x="152"/>
        <item x="471"/>
        <item x="416"/>
        <item x="129"/>
        <item x="272"/>
        <item x="572"/>
        <item x="352"/>
        <item x="176"/>
        <item x="541"/>
        <item x="37"/>
        <item x="103"/>
        <item x="461"/>
        <item x="12"/>
        <item x="40"/>
        <item x="597"/>
        <item x="68"/>
        <item x="547"/>
        <item x="136"/>
        <item x="549"/>
        <item x="16"/>
        <item x="274"/>
        <item x="87"/>
        <item x="434"/>
        <item x="73"/>
        <item x="63"/>
        <item x="451"/>
        <item x="60"/>
        <item x="395"/>
        <item x="45"/>
        <item x="489"/>
        <item x="354"/>
        <item x="120"/>
        <item x="299"/>
        <item x="378"/>
        <item x="333"/>
        <item x="88"/>
        <item x="388"/>
        <item x="511"/>
        <item x="223"/>
        <item x="212"/>
        <item x="104"/>
        <item x="54"/>
        <item x="66"/>
        <item x="514"/>
        <item x="167"/>
        <item x="412"/>
        <item x="117"/>
        <item x="431"/>
        <item x="182"/>
        <item x="211"/>
        <item x="370"/>
        <item x="585"/>
        <item x="475"/>
        <item x="560"/>
        <item x="283"/>
        <item x="266"/>
        <item x="215"/>
        <item x="9"/>
        <item x="268"/>
        <item x="372"/>
        <item x="452"/>
        <item x="0"/>
        <item x="278"/>
        <item x="161"/>
        <item x="488"/>
        <item x="141"/>
        <item x="524"/>
        <item x="426"/>
        <item x="561"/>
        <item x="456"/>
        <item x="449"/>
        <item x="435"/>
        <item x="112"/>
        <item x="55"/>
        <item x="406"/>
        <item x="1"/>
        <item x="468"/>
        <item x="619"/>
        <item x="18"/>
        <item x="603"/>
        <item x="57"/>
        <item x="201"/>
        <item x="565"/>
        <item x="253"/>
        <item x="232"/>
        <item x="465"/>
        <item x="582"/>
        <item x="7"/>
        <item x="290"/>
        <item x="124"/>
        <item x="595"/>
        <item x="271"/>
        <item x="429"/>
        <item x="575"/>
        <item x="569"/>
        <item x="53"/>
        <item x="418"/>
        <item x="338"/>
        <item x="27"/>
        <item x="396"/>
        <item x="479"/>
        <item x="357"/>
        <item x="169"/>
        <item x="438"/>
        <item x="347"/>
        <item x="527"/>
        <item x="564"/>
        <item x="558"/>
        <item x="221"/>
        <item x="29"/>
        <item x="151"/>
        <item x="226"/>
        <item x="529"/>
        <item x="72"/>
        <item x="248"/>
        <item x="534"/>
        <item x="424"/>
        <item x="256"/>
        <item x="384"/>
        <item x="135"/>
        <item x="373"/>
        <item x="556"/>
        <item x="133"/>
        <item x="612"/>
        <item x="460"/>
        <item x="374"/>
        <item x="361"/>
        <item x="269"/>
        <item x="105"/>
        <item x="218"/>
        <item x="321"/>
        <item x="392"/>
        <item x="236"/>
        <item x="99"/>
        <item x="217"/>
        <item x="199"/>
        <item x="162"/>
        <item x="70"/>
        <item x="241"/>
        <item x="310"/>
        <item x="202"/>
        <item x="177"/>
        <item x="2"/>
        <item x="507"/>
        <item x="367"/>
        <item x="568"/>
        <item x="204"/>
        <item x="296"/>
        <item x="153"/>
        <item x="346"/>
        <item x="559"/>
        <item x="82"/>
        <item x="525"/>
        <item x="360"/>
        <item x="501"/>
        <item x="197"/>
        <item x="156"/>
        <item x="335"/>
        <item x="44"/>
        <item x="171"/>
        <item x="383"/>
        <item x="270"/>
        <item x="23"/>
        <item x="551"/>
        <item x="499"/>
        <item x="34"/>
        <item x="351"/>
        <item x="192"/>
        <item x="250"/>
        <item x="521"/>
        <item x="381"/>
        <item x="608"/>
        <item x="329"/>
        <item x="237"/>
        <item x="402"/>
        <item x="92"/>
        <item x="50"/>
        <item x="509"/>
        <item x="146"/>
        <item x="41"/>
        <item x="128"/>
        <item x="242"/>
        <item x="25"/>
        <item x="294"/>
        <item x="464"/>
        <item x="599"/>
        <item x="621"/>
        <item x="536"/>
        <item x="583"/>
        <item x="61"/>
        <item x="288"/>
        <item x="56"/>
        <item x="64"/>
        <item x="532"/>
        <item x="516"/>
        <item x="502"/>
        <item x="258"/>
        <item x="504"/>
        <item x="336"/>
        <item x="205"/>
        <item x="91"/>
        <item x="548"/>
        <item x="496"/>
        <item x="415"/>
        <item x="503"/>
        <item x="391"/>
        <item x="284"/>
        <item x="618"/>
        <item x="251"/>
        <item x="439"/>
        <item x="291"/>
        <item x="184"/>
        <item x="522"/>
        <item x="615"/>
        <item x="311"/>
        <item x="262"/>
        <item x="448"/>
        <item x="486"/>
        <item x="394"/>
        <item x="407"/>
        <item x="594"/>
        <item x="257"/>
        <item x="142"/>
        <item x="588"/>
        <item x="228"/>
        <item x="79"/>
        <item x="495"/>
        <item x="498"/>
        <item x="326"/>
        <item x="24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3"/>
  </rowFields>
  <rowItems count="8">
    <i>
      <x v="5"/>
    </i>
    <i>
      <x/>
    </i>
    <i>
      <x v="6"/>
    </i>
    <i>
      <x v="2"/>
    </i>
    <i>
      <x v="3"/>
    </i>
    <i>
      <x v="4"/>
    </i>
    <i>
      <x v="1"/>
    </i>
    <i t="grand">
      <x/>
    </i>
  </rowItems>
  <colItems count="1">
    <i/>
  </colItems>
  <dataFields count="1">
    <dataField name="Sum of Loan_Amount_CAD" fld="4" showDataAs="percentOfTotal" baseField="3" baseItem="0" numFmtId="9"/>
  </dataFields>
  <formats count="1">
    <format dxfId="3">
      <pivotArea outline="0" collapsedLevelsAreSubtotals="1" fieldPosition="0"/>
    </format>
  </formats>
  <chartFormats count="16">
    <chartFormat chart="2" format="0"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3" count="1" selected="0">
            <x v="0"/>
          </reference>
        </references>
      </pivotArea>
    </chartFormat>
    <chartFormat chart="8" format="11">
      <pivotArea type="data" outline="0" fieldPosition="0">
        <references count="2">
          <reference field="4294967294" count="1" selected="0">
            <x v="0"/>
          </reference>
          <reference field="3" count="1" selected="0">
            <x v="1"/>
          </reference>
        </references>
      </pivotArea>
    </chartFormat>
    <chartFormat chart="8" format="12">
      <pivotArea type="data" outline="0" fieldPosition="0">
        <references count="2">
          <reference field="4294967294" count="1" selected="0">
            <x v="0"/>
          </reference>
          <reference field="3" count="1" selected="0">
            <x v="2"/>
          </reference>
        </references>
      </pivotArea>
    </chartFormat>
    <chartFormat chart="8" format="13">
      <pivotArea type="data" outline="0" fieldPosition="0">
        <references count="2">
          <reference field="4294967294" count="1" selected="0">
            <x v="0"/>
          </reference>
          <reference field="3" count="1" selected="0">
            <x v="3"/>
          </reference>
        </references>
      </pivotArea>
    </chartFormat>
    <chartFormat chart="8" format="14">
      <pivotArea type="data" outline="0" fieldPosition="0">
        <references count="2">
          <reference field="4294967294" count="1" selected="0">
            <x v="0"/>
          </reference>
          <reference field="3" count="1" selected="0">
            <x v="4"/>
          </reference>
        </references>
      </pivotArea>
    </chartFormat>
    <chartFormat chart="8" format="15">
      <pivotArea type="data" outline="0" fieldPosition="0">
        <references count="2">
          <reference field="4294967294" count="1" selected="0">
            <x v="0"/>
          </reference>
          <reference field="3" count="1" selected="0">
            <x v="5"/>
          </reference>
        </references>
      </pivotArea>
    </chartFormat>
    <chartFormat chart="8" format="16">
      <pivotArea type="data" outline="0" fieldPosition="0">
        <references count="2">
          <reference field="4294967294" count="1" selected="0">
            <x v="0"/>
          </reference>
          <reference field="3" count="1" selected="0">
            <x v="6"/>
          </reference>
        </references>
      </pivotArea>
    </chartFormat>
    <chartFormat chart="2" format="1">
      <pivotArea type="data" outline="0" fieldPosition="0">
        <references count="2">
          <reference field="4294967294" count="1" selected="0">
            <x v="0"/>
          </reference>
          <reference field="3" count="1" selected="0">
            <x v="5"/>
          </reference>
        </references>
      </pivotArea>
    </chartFormat>
    <chartFormat chart="2" format="2">
      <pivotArea type="data" outline="0" fieldPosition="0">
        <references count="2">
          <reference field="4294967294" count="1" selected="0">
            <x v="0"/>
          </reference>
          <reference field="3" count="1" selected="0">
            <x v="0"/>
          </reference>
        </references>
      </pivotArea>
    </chartFormat>
    <chartFormat chart="2" format="3">
      <pivotArea type="data" outline="0" fieldPosition="0">
        <references count="2">
          <reference field="4294967294" count="1" selected="0">
            <x v="0"/>
          </reference>
          <reference field="3" count="1" selected="0">
            <x v="6"/>
          </reference>
        </references>
      </pivotArea>
    </chartFormat>
    <chartFormat chart="2" format="4">
      <pivotArea type="data" outline="0" fieldPosition="0">
        <references count="2">
          <reference field="4294967294" count="1" selected="0">
            <x v="0"/>
          </reference>
          <reference field="3" count="1" selected="0">
            <x v="2"/>
          </reference>
        </references>
      </pivotArea>
    </chartFormat>
    <chartFormat chart="2" format="5">
      <pivotArea type="data" outline="0" fieldPosition="0">
        <references count="2">
          <reference field="4294967294" count="1" selected="0">
            <x v="0"/>
          </reference>
          <reference field="3" count="1" selected="0">
            <x v="3"/>
          </reference>
        </references>
      </pivotArea>
    </chartFormat>
    <chartFormat chart="2" format="6">
      <pivotArea type="data" outline="0" fieldPosition="0">
        <references count="2">
          <reference field="4294967294" count="1" selected="0">
            <x v="0"/>
          </reference>
          <reference field="3" count="1" selected="0">
            <x v="4"/>
          </reference>
        </references>
      </pivotArea>
    </chartFormat>
    <chartFormat chart="2" format="7">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83C269-FCD8-44FB-A883-86E9835BD94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rowPageCount="1" colPageCount="1"/>
  <pivotFields count="17">
    <pivotField dataField="1" showAll="0"/>
    <pivotField axis="axisPage" showAll="0">
      <items count="11">
        <item x="2"/>
        <item x="3"/>
        <item x="5"/>
        <item x="1"/>
        <item x="8"/>
        <item x="6"/>
        <item x="4"/>
        <item x="9"/>
        <item x="0"/>
        <item x="7"/>
        <item t="default"/>
      </items>
    </pivotField>
    <pivotField showAll="0"/>
    <pivotField showAll="0">
      <items count="8">
        <item x="1"/>
        <item x="5"/>
        <item x="2"/>
        <item x="3"/>
        <item x="6"/>
        <item x="0"/>
        <item x="4"/>
        <item t="default"/>
      </items>
    </pivotField>
    <pivotField dataField="1" showAll="0"/>
    <pivotField dataField="1" showAll="0"/>
    <pivotField showAll="0"/>
    <pivotField showAll="0"/>
    <pivotField dataField="1" showAll="0"/>
    <pivotField showAll="0">
      <items count="5">
        <item x="3"/>
        <item x="0"/>
        <item x="1"/>
        <item x="2"/>
        <item t="default"/>
      </items>
    </pivotField>
    <pivotField showAll="0"/>
    <pivotField dataField="1" showAll="0"/>
    <pivotField showAll="0">
      <items count="5">
        <item x="2"/>
        <item x="1"/>
        <item x="3"/>
        <item x="0"/>
        <item t="default"/>
      </items>
    </pivotField>
    <pivotField showAll="0">
      <items count="1245">
        <item m="1" x="904"/>
        <item m="1" x="847"/>
        <item m="1" x="1033"/>
        <item m="1" x="728"/>
        <item m="1" x="835"/>
        <item m="1" x="926"/>
        <item m="1" x="655"/>
        <item m="1" x="946"/>
        <item m="1" x="972"/>
        <item m="1" x="644"/>
        <item m="1" x="869"/>
        <item m="1" x="664"/>
        <item m="1" x="1100"/>
        <item m="1" x="984"/>
        <item m="1" x="737"/>
        <item m="1" x="711"/>
        <item m="1" x="860"/>
        <item m="1" x="643"/>
        <item m="1" x="1227"/>
        <item m="1" x="1069"/>
        <item m="1" x="800"/>
        <item m="1" x="650"/>
        <item m="1" x="1076"/>
        <item m="1" x="822"/>
        <item m="1" x="703"/>
        <item m="1" x="1049"/>
        <item m="1" x="1166"/>
        <item m="1" x="1206"/>
        <item m="1" x="1176"/>
        <item m="1" x="852"/>
        <item m="1" x="950"/>
        <item m="1" x="1106"/>
        <item m="1" x="999"/>
        <item m="1" x="698"/>
        <item m="1" x="832"/>
        <item m="1" x="1202"/>
        <item m="1" x="964"/>
        <item m="1" x="925"/>
        <item m="1" x="1155"/>
        <item m="1" x="668"/>
        <item m="1" x="689"/>
        <item m="1" x="962"/>
        <item m="1" x="693"/>
        <item m="1" x="1066"/>
        <item m="1" x="1079"/>
        <item m="1" x="922"/>
        <item m="1" x="801"/>
        <item m="1" x="706"/>
        <item m="1" x="1135"/>
        <item m="1" x="1152"/>
        <item m="1" x="724"/>
        <item m="1" x="1141"/>
        <item m="1" x="882"/>
        <item m="1" x="627"/>
        <item m="1" x="836"/>
        <item m="1" x="1231"/>
        <item m="1" x="1213"/>
        <item m="1" x="953"/>
        <item m="1" x="1235"/>
        <item m="1" x="653"/>
        <item m="1" x="1019"/>
        <item m="1" x="1122"/>
        <item m="1" x="907"/>
        <item m="1" x="771"/>
        <item m="1" x="815"/>
        <item m="1" x="1058"/>
        <item m="1" x="625"/>
        <item m="1" x="1095"/>
        <item m="1" x="1030"/>
        <item m="1" x="646"/>
        <item m="1" x="820"/>
        <item m="1" x="812"/>
        <item m="1" x="633"/>
        <item m="1" x="1215"/>
        <item m="1" x="936"/>
        <item m="1" x="862"/>
        <item m="1" x="730"/>
        <item m="1" x="1031"/>
        <item m="1" x="1184"/>
        <item m="1" x="1172"/>
        <item m="1" x="1200"/>
        <item m="1" x="1115"/>
        <item m="1" x="642"/>
        <item m="1" x="853"/>
        <item m="1" x="1032"/>
        <item m="1" x="770"/>
        <item m="1" x="818"/>
        <item m="1" x="1209"/>
        <item m="1" x="940"/>
        <item m="1" x="796"/>
        <item m="1" x="687"/>
        <item m="1" x="987"/>
        <item m="1" x="917"/>
        <item m="1" x="849"/>
        <item m="1" x="635"/>
        <item m="1" x="877"/>
        <item m="1" x="1089"/>
        <item m="1" x="1161"/>
        <item m="1" x="1232"/>
        <item m="1" x="1015"/>
        <item m="1" x="1027"/>
        <item m="1" x="626"/>
        <item m="1" x="887"/>
        <item m="1" x="813"/>
        <item m="1" x="636"/>
        <item m="1" x="1096"/>
        <item m="1" x="1062"/>
        <item m="1" x="797"/>
        <item m="1" x="632"/>
        <item m="1" x="956"/>
        <item m="1" x="761"/>
        <item m="1" x="720"/>
        <item m="1" x="844"/>
        <item m="1" x="1114"/>
        <item m="1" x="971"/>
        <item m="1" x="981"/>
        <item m="1" x="673"/>
        <item m="1" x="1167"/>
        <item m="1" x="744"/>
        <item m="1" x="919"/>
        <item m="1" x="1211"/>
        <item m="1" x="1177"/>
        <item m="1" x="810"/>
        <item m="1" x="871"/>
        <item m="1" x="1042"/>
        <item m="1" x="935"/>
        <item m="1" x="1021"/>
        <item m="1" x="648"/>
        <item m="1" x="752"/>
        <item m="1" x="856"/>
        <item m="1" x="867"/>
        <item m="1" x="657"/>
        <item m="1" x="760"/>
        <item m="1" x="697"/>
        <item m="1" x="993"/>
        <item m="1" x="772"/>
        <item m="1" x="1065"/>
        <item m="1" x="997"/>
        <item m="1" x="671"/>
        <item m="1" x="1099"/>
        <item m="1" x="1145"/>
        <item m="1" x="923"/>
        <item m="1" x="702"/>
        <item m="1" x="874"/>
        <item m="1" x="1050"/>
        <item m="1" x="1128"/>
        <item m="1" x="949"/>
        <item m="1" x="876"/>
        <item m="1" x="830"/>
        <item m="1" x="928"/>
        <item m="1" x="1134"/>
        <item m="1" x="1203"/>
        <item m="1" x="930"/>
        <item m="1" x="1092"/>
        <item m="1" x="1047"/>
        <item m="1" x="661"/>
        <item m="1" x="1199"/>
        <item m="1" x="1168"/>
        <item m="1" x="777"/>
        <item m="1" x="1067"/>
        <item m="1" x="767"/>
        <item m="1" x="1084"/>
        <item m="1" x="1179"/>
        <item m="1" x="1116"/>
        <item m="1" x="937"/>
        <item m="1" x="809"/>
        <item m="1" x="991"/>
        <item m="1" x="1212"/>
        <item m="1" x="1162"/>
        <item m="1" x="1035"/>
        <item m="1" x="1233"/>
        <item m="1" x="959"/>
        <item m="1" x="1137"/>
        <item m="1" x="1113"/>
        <item m="1" x="732"/>
        <item m="1" x="1150"/>
        <item m="1" x="680"/>
        <item m="1" x="747"/>
        <item m="1" x="1104"/>
        <item m="1" x="988"/>
        <item m="1" x="665"/>
        <item m="1" x="628"/>
        <item m="1" x="762"/>
        <item m="1" x="1098"/>
        <item m="1" x="881"/>
        <item m="1" x="785"/>
        <item m="1" x="966"/>
        <item m="1" x="691"/>
        <item m="1" x="990"/>
        <item m="1" x="786"/>
        <item m="1" x="978"/>
        <item m="1" x="1025"/>
        <item m="1" x="1054"/>
        <item m="1" x="1055"/>
        <item m="1" x="1239"/>
        <item m="1" x="759"/>
        <item m="1" x="749"/>
        <item m="1" x="998"/>
        <item m="1" x="712"/>
        <item m="1" x="909"/>
        <item m="1" x="1226"/>
        <item m="1" x="1157"/>
        <item m="1" x="1214"/>
        <item m="1" x="738"/>
        <item m="1" x="942"/>
        <item m="1" x="637"/>
        <item m="1" x="788"/>
        <item m="1" x="1223"/>
        <item m="1" x="901"/>
        <item m="1" x="745"/>
        <item m="1" x="885"/>
        <item m="1" x="1023"/>
        <item m="1" x="1185"/>
        <item m="1" x="641"/>
        <item m="1" x="851"/>
        <item m="1" x="883"/>
        <item m="1" x="802"/>
        <item m="1" x="1208"/>
        <item m="1" x="803"/>
        <item m="1" x="939"/>
        <item m="1" x="986"/>
        <item m="1" x="669"/>
        <item m="1" x="954"/>
        <item m="1" x="1195"/>
        <item m="1" x="927"/>
        <item m="1" x="781"/>
        <item m="1" x="769"/>
        <item m="1" x="705"/>
        <item m="1" x="829"/>
        <item m="1" x="787"/>
        <item m="1" x="938"/>
        <item m="1" x="914"/>
        <item m="1" x="980"/>
        <item m="1" x="753"/>
        <item m="1" x="1020"/>
        <item m="1" x="1159"/>
        <item m="1" x="1153"/>
        <item m="1" x="842"/>
        <item m="1" x="794"/>
        <item m="1" x="731"/>
        <item m="1" x="947"/>
        <item m="1" x="780"/>
        <item m="1" x="735"/>
        <item m="1" x="841"/>
        <item m="1" x="1072"/>
        <item m="1" x="902"/>
        <item m="1" x="1007"/>
        <item m="1" x="654"/>
        <item m="1" x="970"/>
        <item m="1" x="729"/>
        <item m="1" x="920"/>
        <item m="1" x="1127"/>
        <item m="1" x="1026"/>
        <item m="1" x="828"/>
        <item m="1" x="808"/>
        <item m="1" x="931"/>
        <item m="1" x="1044"/>
        <item m="1" x="831"/>
        <item m="1" x="741"/>
        <item m="1" x="1164"/>
        <item m="1" x="1222"/>
        <item m="1" x="765"/>
        <item m="1" x="977"/>
        <item m="1" x="1140"/>
        <item m="1" x="1238"/>
        <item m="1" x="1008"/>
        <item m="1" x="952"/>
        <item m="1" x="1220"/>
        <item m="1" x="1068"/>
        <item m="1" x="975"/>
        <item m="1" x="1105"/>
        <item m="1" x="1142"/>
        <item m="1" x="889"/>
        <item m="1" x="776"/>
        <item m="1" x="1119"/>
        <item m="1" x="1218"/>
        <item m="1" x="652"/>
        <item m="1" x="945"/>
        <item m="1" x="779"/>
        <item m="1" x="722"/>
        <item m="1" x="795"/>
        <item m="1" x="911"/>
        <item m="1" x="1009"/>
        <item m="1" x="1039"/>
        <item m="1" x="868"/>
        <item m="1" x="1063"/>
        <item m="1" x="766"/>
        <item m="1" x="696"/>
        <item m="1" x="1130"/>
        <item m="1" x="630"/>
        <item m="1" x="1081"/>
        <item m="1" x="681"/>
        <item m="1" x="915"/>
        <item m="1" x="1059"/>
        <item m="1" x="1052"/>
        <item m="1" x="1175"/>
        <item m="1" x="825"/>
        <item m="1" x="740"/>
        <item m="1" x="965"/>
        <item m="1" x="1075"/>
        <item m="1" x="699"/>
        <item m="1" x="1012"/>
        <item m="1" x="1077"/>
        <item m="1" x="684"/>
        <item m="1" x="1229"/>
        <item m="1" x="929"/>
        <item m="1" x="899"/>
        <item m="1" x="895"/>
        <item m="1" x="961"/>
        <item m="1" x="1088"/>
        <item m="1" x="1103"/>
        <item m="1" x="1139"/>
        <item m="1" x="1107"/>
        <item m="1" x="1085"/>
        <item m="1" x="1174"/>
        <item m="1" x="754"/>
        <item m="1" x="817"/>
        <item m="1" x="897"/>
        <item m="1" x="1011"/>
        <item m="1" x="1080"/>
        <item m="1" x="963"/>
        <item m="1" x="1224"/>
        <item m="1" x="1192"/>
        <item m="1" x="1228"/>
        <item m="1" x="985"/>
        <item m="1" x="1112"/>
        <item m="1" x="967"/>
        <item m="1" x="639"/>
        <item m="1" x="1041"/>
        <item m="1" x="1045"/>
        <item m="1" x="886"/>
        <item m="1" x="1242"/>
        <item m="1" x="1196"/>
        <item m="1" x="1094"/>
        <item m="1" x="807"/>
        <item m="1" x="898"/>
        <item m="1" x="718"/>
        <item m="1" x="924"/>
        <item m="1" x="670"/>
        <item m="1" x="743"/>
        <item m="1" x="1236"/>
        <item m="1" x="1198"/>
        <item m="1" x="855"/>
        <item m="1" x="1109"/>
        <item m="1" x="805"/>
        <item m="1" x="1102"/>
        <item m="1" x="1036"/>
        <item m="1" x="723"/>
        <item m="1" x="790"/>
        <item m="1" x="1022"/>
        <item m="1" x="934"/>
        <item m="1" x="1132"/>
        <item m="1" x="1160"/>
        <item m="1" x="861"/>
        <item m="1" x="1001"/>
        <item m="1" x="748"/>
        <item m="1" x="1193"/>
        <item m="1" x="903"/>
        <item m="1" x="733"/>
        <item m="1" x="1043"/>
        <item m="1" x="944"/>
        <item m="1" x="857"/>
        <item m="1" x="715"/>
        <item m="1" x="756"/>
        <item m="1" x="908"/>
        <item m="1" x="1165"/>
        <item m="1" x="792"/>
        <item m="1" x="1002"/>
        <item m="1" x="811"/>
        <item m="1" x="1064"/>
        <item m="1" x="1004"/>
        <item m="1" x="1201"/>
        <item m="1" x="816"/>
        <item m="1" x="1189"/>
        <item m="1" x="707"/>
        <item m="1" x="700"/>
        <item m="1" x="719"/>
        <item m="1" x="846"/>
        <item m="1" x="941"/>
        <item m="1" x="736"/>
        <item m="1" x="838"/>
        <item m="1" x="865"/>
        <item m="1" x="717"/>
        <item m="1" x="1188"/>
        <item m="1" x="782"/>
        <item m="1" x="658"/>
        <item m="1" x="674"/>
        <item m="1" x="1091"/>
        <item m="1" x="660"/>
        <item m="1" x="708"/>
        <item m="1" x="716"/>
        <item m="1" x="1148"/>
        <item m="1" x="774"/>
        <item m="1" x="1093"/>
        <item m="1" x="1038"/>
        <item m="1" x="751"/>
        <item m="1" x="894"/>
        <item m="1" x="1194"/>
        <item m="1" x="974"/>
        <item m="1" x="798"/>
        <item m="1" x="1163"/>
        <item m="1" x="659"/>
        <item m="1" x="725"/>
        <item m="1" x="1083"/>
        <item m="1" x="634"/>
        <item m="1" x="662"/>
        <item m="1" x="1219"/>
        <item m="1" x="690"/>
        <item m="1" x="1169"/>
        <item m="1" x="758"/>
        <item m="1" x="1171"/>
        <item m="1" x="638"/>
        <item m="1" x="896"/>
        <item m="1" x="709"/>
        <item m="1" x="1056"/>
        <item m="1" x="695"/>
        <item m="1" x="685"/>
        <item m="1" x="1073"/>
        <item m="1" x="682"/>
        <item m="1" x="1017"/>
        <item m="1" x="667"/>
        <item m="1" x="1111"/>
        <item m="1" x="976"/>
        <item m="1" x="742"/>
        <item m="1" x="921"/>
        <item m="1" x="1000"/>
        <item m="1" x="955"/>
        <item m="1" x="710"/>
        <item m="1" x="1010"/>
        <item m="1" x="1133"/>
        <item m="1" x="845"/>
        <item m="1" x="834"/>
        <item m="1" x="726"/>
        <item m="1" x="676"/>
        <item m="1" x="688"/>
        <item m="1" x="1136"/>
        <item m="1" x="789"/>
        <item m="1" x="1034"/>
        <item m="1" x="739"/>
        <item m="1" x="1053"/>
        <item m="1" x="804"/>
        <item m="1" x="833"/>
        <item m="1" x="992"/>
        <item m="1" x="1207"/>
        <item m="1" x="1097"/>
        <item m="1" x="1182"/>
        <item m="1" x="905"/>
        <item m="1" x="888"/>
        <item m="1" x="837"/>
        <item m="1" x="631"/>
        <item m="1" x="890"/>
        <item m="1" x="994"/>
        <item m="1" x="1074"/>
        <item m="1" x="622"/>
        <item m="1" x="900"/>
        <item m="1" x="783"/>
        <item m="1" x="1110"/>
        <item m="1" x="763"/>
        <item m="1" x="1146"/>
        <item m="1" x="1048"/>
        <item m="1" x="1183"/>
        <item m="1" x="1078"/>
        <item m="1" x="1071"/>
        <item m="1" x="1057"/>
        <item m="1" x="734"/>
        <item m="1" x="677"/>
        <item m="1" x="1028"/>
        <item m="1" x="623"/>
        <item m="1" x="1090"/>
        <item m="1" x="1241"/>
        <item m="1" x="640"/>
        <item m="1" x="1225"/>
        <item m="1" x="679"/>
        <item m="1" x="823"/>
        <item m="1" x="1187"/>
        <item m="1" x="875"/>
        <item m="1" x="854"/>
        <item m="1" x="1087"/>
        <item m="1" x="1204"/>
        <item m="1" x="629"/>
        <item m="1" x="912"/>
        <item m="1" x="746"/>
        <item m="1" x="1217"/>
        <item m="1" x="893"/>
        <item m="1" x="1051"/>
        <item m="1" x="1197"/>
        <item m="1" x="1191"/>
        <item m="1" x="675"/>
        <item m="1" x="1040"/>
        <item m="1" x="960"/>
        <item m="1" x="649"/>
        <item m="1" x="1018"/>
        <item m="1" x="1101"/>
        <item m="1" x="979"/>
        <item m="1" x="791"/>
        <item m="1" x="1060"/>
        <item m="1" x="969"/>
        <item m="1" x="1149"/>
        <item m="1" x="1186"/>
        <item m="1" x="1180"/>
        <item m="1" x="843"/>
        <item m="1" x="651"/>
        <item m="1" x="773"/>
        <item m="1" x="848"/>
        <item m="1" x="1151"/>
        <item m="1" x="694"/>
        <item m="1" x="870"/>
        <item m="1" x="1156"/>
        <item m="1" x="1046"/>
        <item m="1" x="878"/>
        <item m="1" x="1006"/>
        <item m="1" x="757"/>
        <item m="1" x="995"/>
        <item m="1" x="1178"/>
        <item m="1" x="755"/>
        <item m="1" x="1234"/>
        <item m="1" x="1082"/>
        <item m="1" x="996"/>
        <item m="1" x="983"/>
        <item m="1" x="891"/>
        <item m="1" x="727"/>
        <item m="1" x="840"/>
        <item m="1" x="943"/>
        <item m="1" x="1014"/>
        <item m="1" x="858"/>
        <item m="1" x="721"/>
        <item m="1" x="839"/>
        <item m="1" x="821"/>
        <item m="1" x="784"/>
        <item m="1" x="692"/>
        <item m="1" x="863"/>
        <item m="1" x="932"/>
        <item m="1" x="824"/>
        <item m="1" x="799"/>
        <item m="1" x="624"/>
        <item m="1" x="1129"/>
        <item m="1" x="989"/>
        <item m="1" x="1190"/>
        <item m="1" x="826"/>
        <item m="1" x="918"/>
        <item m="1" x="775"/>
        <item m="1" x="968"/>
        <item m="1" x="1181"/>
        <item m="1" x="704"/>
        <item m="1" x="1147"/>
        <item m="1" x="982"/>
        <item m="1" x="1123"/>
        <item m="1" x="819"/>
        <item m="1" x="778"/>
        <item m="1" x="957"/>
        <item m="1" x="666"/>
        <item m="1" x="793"/>
        <item m="1" x="1005"/>
        <item m="1" x="892"/>
        <item m="1" x="645"/>
        <item m="1" x="1173"/>
        <item m="1" x="1121"/>
        <item m="1" x="656"/>
        <item m="1" x="973"/>
        <item m="1" x="814"/>
        <item m="1" x="872"/>
        <item m="1" x="1143"/>
        <item m="1" x="1003"/>
        <item m="1" x="1230"/>
        <item m="1" x="951"/>
        <item m="1" x="859"/>
        <item m="1" x="1024"/>
        <item m="1" x="714"/>
        <item m="1" x="672"/>
        <item m="1" x="1131"/>
        <item m="1" x="768"/>
        <item m="1" x="663"/>
        <item m="1" x="750"/>
        <item m="1" x="864"/>
        <item m="1" x="647"/>
        <item m="1" x="916"/>
        <item m="1" x="1086"/>
        <item m="1" x="1221"/>
        <item m="1" x="1243"/>
        <item m="1" x="1158"/>
        <item m="1" x="1205"/>
        <item m="1" x="683"/>
        <item m="1" x="910"/>
        <item m="1" x="678"/>
        <item m="1" x="686"/>
        <item m="1" x="1154"/>
        <item m="1" x="1138"/>
        <item m="1" x="1124"/>
        <item m="1" x="880"/>
        <item m="1" x="1126"/>
        <item m="1" x="958"/>
        <item m="1" x="827"/>
        <item m="1" x="713"/>
        <item m="1" x="1170"/>
        <item m="1" x="1118"/>
        <item m="1" x="1037"/>
        <item m="1" x="1125"/>
        <item m="1" x="1013"/>
        <item m="1" x="906"/>
        <item m="1" x="1240"/>
        <item m="1" x="873"/>
        <item m="1" x="1061"/>
        <item m="1" x="913"/>
        <item m="1" x="806"/>
        <item m="1" x="1144"/>
        <item m="1" x="1237"/>
        <item m="1" x="933"/>
        <item m="1" x="884"/>
        <item m="1" x="1070"/>
        <item m="1" x="1108"/>
        <item m="1" x="1016"/>
        <item m="1" x="1029"/>
        <item m="1" x="1216"/>
        <item m="1" x="879"/>
        <item m="1" x="764"/>
        <item m="1" x="1210"/>
        <item m="1" x="850"/>
        <item m="1" x="701"/>
        <item m="1" x="1117"/>
        <item m="1" x="1120"/>
        <item m="1" x="948"/>
        <item m="1" x="866"/>
        <item x="282"/>
        <item x="225"/>
        <item x="411"/>
        <item x="106"/>
        <item x="213"/>
        <item x="304"/>
        <item x="33"/>
        <item x="324"/>
        <item x="350"/>
        <item x="22"/>
        <item x="247"/>
        <item x="42"/>
        <item x="478"/>
        <item x="362"/>
        <item x="115"/>
        <item x="89"/>
        <item x="238"/>
        <item x="21"/>
        <item x="605"/>
        <item x="447"/>
        <item x="178"/>
        <item x="28"/>
        <item x="454"/>
        <item x="200"/>
        <item x="81"/>
        <item x="427"/>
        <item x="544"/>
        <item x="584"/>
        <item x="554"/>
        <item x="230"/>
        <item x="328"/>
        <item x="484"/>
        <item x="377"/>
        <item x="76"/>
        <item x="210"/>
        <item x="580"/>
        <item x="342"/>
        <item x="303"/>
        <item x="533"/>
        <item x="46"/>
        <item x="67"/>
        <item x="340"/>
        <item x="71"/>
        <item x="444"/>
        <item x="457"/>
        <item x="300"/>
        <item x="179"/>
        <item x="84"/>
        <item x="513"/>
        <item x="530"/>
        <item x="102"/>
        <item x="519"/>
        <item x="260"/>
        <item x="5"/>
        <item x="214"/>
        <item x="609"/>
        <item x="591"/>
        <item x="331"/>
        <item x="613"/>
        <item x="31"/>
        <item x="397"/>
        <item x="500"/>
        <item x="285"/>
        <item x="149"/>
        <item x="193"/>
        <item x="436"/>
        <item x="3"/>
        <item x="473"/>
        <item x="408"/>
        <item x="24"/>
        <item x="198"/>
        <item x="190"/>
        <item x="11"/>
        <item x="593"/>
        <item x="314"/>
        <item x="240"/>
        <item x="108"/>
        <item x="409"/>
        <item x="562"/>
        <item x="550"/>
        <item x="578"/>
        <item x="493"/>
        <item x="20"/>
        <item x="231"/>
        <item x="410"/>
        <item x="148"/>
        <item x="196"/>
        <item x="587"/>
        <item x="318"/>
        <item x="174"/>
        <item x="65"/>
        <item x="365"/>
        <item x="295"/>
        <item x="227"/>
        <item x="13"/>
        <item x="255"/>
        <item x="467"/>
        <item x="539"/>
        <item x="610"/>
        <item x="393"/>
        <item x="405"/>
        <item x="4"/>
        <item x="265"/>
        <item x="191"/>
        <item x="14"/>
        <item x="474"/>
        <item x="440"/>
        <item x="175"/>
        <item x="10"/>
        <item x="334"/>
        <item x="139"/>
        <item x="98"/>
        <item x="222"/>
        <item x="492"/>
        <item x="349"/>
        <item x="359"/>
        <item x="51"/>
        <item x="545"/>
        <item x="122"/>
        <item x="297"/>
        <item x="589"/>
        <item x="555"/>
        <item x="188"/>
        <item x="249"/>
        <item x="420"/>
        <item x="313"/>
        <item x="399"/>
        <item x="26"/>
        <item x="130"/>
        <item x="234"/>
        <item x="245"/>
        <item x="35"/>
        <item x="138"/>
        <item x="75"/>
        <item x="371"/>
        <item x="150"/>
        <item x="443"/>
        <item x="375"/>
        <item x="49"/>
        <item x="477"/>
        <item x="523"/>
        <item x="301"/>
        <item x="80"/>
        <item x="252"/>
        <item x="428"/>
        <item x="506"/>
        <item x="327"/>
        <item x="254"/>
        <item x="208"/>
        <item x="306"/>
        <item x="512"/>
        <item x="581"/>
        <item x="308"/>
        <item x="470"/>
        <item x="425"/>
        <item x="39"/>
        <item x="577"/>
        <item x="546"/>
        <item x="155"/>
        <item x="445"/>
        <item x="145"/>
        <item x="462"/>
        <item x="557"/>
        <item x="494"/>
        <item x="315"/>
        <item x="187"/>
        <item x="369"/>
        <item x="590"/>
        <item x="540"/>
        <item x="413"/>
        <item x="611"/>
        <item x="337"/>
        <item x="515"/>
        <item x="491"/>
        <item x="110"/>
        <item x="528"/>
        <item x="58"/>
        <item x="125"/>
        <item x="482"/>
        <item x="366"/>
        <item x="43"/>
        <item x="6"/>
        <item x="140"/>
        <item x="476"/>
        <item x="259"/>
        <item x="163"/>
        <item x="344"/>
        <item x="69"/>
        <item x="368"/>
        <item x="164"/>
        <item x="356"/>
        <item x="403"/>
        <item x="432"/>
        <item x="433"/>
        <item x="617"/>
        <item x="137"/>
        <item x="127"/>
        <item x="376"/>
        <item x="90"/>
        <item x="287"/>
        <item x="604"/>
        <item x="535"/>
        <item x="592"/>
        <item x="116"/>
        <item x="320"/>
        <item x="15"/>
        <item x="166"/>
        <item x="601"/>
        <item x="279"/>
        <item x="123"/>
        <item x="263"/>
        <item x="401"/>
        <item x="563"/>
        <item x="19"/>
        <item x="229"/>
        <item x="261"/>
        <item x="180"/>
        <item x="586"/>
        <item x="181"/>
        <item x="317"/>
        <item x="364"/>
        <item x="47"/>
        <item x="332"/>
        <item x="573"/>
        <item x="305"/>
        <item x="159"/>
        <item x="147"/>
        <item x="83"/>
        <item x="207"/>
        <item x="165"/>
        <item x="316"/>
        <item x="292"/>
        <item x="358"/>
        <item x="131"/>
        <item x="398"/>
        <item x="537"/>
        <item x="531"/>
        <item x="220"/>
        <item x="172"/>
        <item x="109"/>
        <item x="325"/>
        <item x="158"/>
        <item x="113"/>
        <item x="219"/>
        <item x="450"/>
        <item x="280"/>
        <item x="385"/>
        <item x="32"/>
        <item x="348"/>
        <item x="107"/>
        <item x="298"/>
        <item x="505"/>
        <item x="404"/>
        <item x="206"/>
        <item x="186"/>
        <item x="309"/>
        <item x="422"/>
        <item x="209"/>
        <item x="119"/>
        <item x="542"/>
        <item x="600"/>
        <item x="143"/>
        <item x="355"/>
        <item x="518"/>
        <item x="616"/>
        <item x="386"/>
        <item x="330"/>
        <item x="598"/>
        <item x="446"/>
        <item x="353"/>
        <item x="483"/>
        <item x="520"/>
        <item x="267"/>
        <item x="154"/>
        <item x="497"/>
        <item x="596"/>
        <item x="30"/>
        <item x="323"/>
        <item x="157"/>
        <item x="100"/>
        <item x="173"/>
        <item x="289"/>
        <item x="387"/>
        <item x="417"/>
        <item x="246"/>
        <item x="441"/>
        <item x="144"/>
        <item x="74"/>
        <item x="508"/>
        <item x="8"/>
        <item x="459"/>
        <item x="59"/>
        <item x="293"/>
        <item x="437"/>
        <item x="430"/>
        <item x="553"/>
        <item x="203"/>
        <item x="118"/>
        <item x="343"/>
        <item x="453"/>
        <item x="77"/>
        <item x="390"/>
        <item x="455"/>
        <item x="62"/>
        <item x="607"/>
        <item x="307"/>
        <item x="277"/>
        <item x="273"/>
        <item x="339"/>
        <item x="466"/>
        <item x="481"/>
        <item x="517"/>
        <item x="485"/>
        <item x="463"/>
        <item x="552"/>
        <item x="132"/>
        <item x="195"/>
        <item x="275"/>
        <item x="389"/>
        <item x="458"/>
        <item x="341"/>
        <item x="602"/>
        <item x="570"/>
        <item x="606"/>
        <item x="363"/>
        <item x="490"/>
        <item x="345"/>
        <item x="17"/>
        <item x="419"/>
        <item x="423"/>
        <item x="264"/>
        <item x="620"/>
        <item x="574"/>
        <item x="472"/>
        <item x="185"/>
        <item x="276"/>
        <item x="96"/>
        <item x="302"/>
        <item x="48"/>
        <item x="121"/>
        <item x="614"/>
        <item x="576"/>
        <item x="233"/>
        <item x="487"/>
        <item x="183"/>
        <item x="480"/>
        <item x="414"/>
        <item x="101"/>
        <item x="168"/>
        <item x="400"/>
        <item x="312"/>
        <item x="510"/>
        <item x="538"/>
        <item x="239"/>
        <item x="379"/>
        <item x="126"/>
        <item x="571"/>
        <item x="281"/>
        <item x="111"/>
        <item x="421"/>
        <item x="322"/>
        <item x="235"/>
        <item x="93"/>
        <item x="134"/>
        <item x="286"/>
        <item x="543"/>
        <item x="170"/>
        <item x="380"/>
        <item x="189"/>
        <item x="442"/>
        <item x="382"/>
        <item x="579"/>
        <item x="194"/>
        <item x="567"/>
        <item x="85"/>
        <item x="78"/>
        <item x="97"/>
        <item x="224"/>
        <item x="319"/>
        <item x="114"/>
        <item x="216"/>
        <item x="243"/>
        <item x="95"/>
        <item x="566"/>
        <item x="160"/>
        <item x="36"/>
        <item x="52"/>
        <item x="469"/>
        <item x="38"/>
        <item x="86"/>
        <item x="94"/>
        <item x="526"/>
        <item x="152"/>
        <item x="471"/>
        <item x="416"/>
        <item x="129"/>
        <item x="272"/>
        <item x="572"/>
        <item x="352"/>
        <item x="176"/>
        <item x="541"/>
        <item x="37"/>
        <item x="103"/>
        <item x="461"/>
        <item x="12"/>
        <item x="40"/>
        <item x="597"/>
        <item x="68"/>
        <item x="547"/>
        <item x="136"/>
        <item x="549"/>
        <item x="16"/>
        <item x="274"/>
        <item x="87"/>
        <item x="434"/>
        <item x="73"/>
        <item x="63"/>
        <item x="451"/>
        <item x="60"/>
        <item x="395"/>
        <item x="45"/>
        <item x="489"/>
        <item x="354"/>
        <item x="120"/>
        <item x="299"/>
        <item x="378"/>
        <item x="333"/>
        <item x="88"/>
        <item x="388"/>
        <item x="511"/>
        <item x="223"/>
        <item x="212"/>
        <item x="104"/>
        <item x="54"/>
        <item x="66"/>
        <item x="514"/>
        <item x="167"/>
        <item x="412"/>
        <item x="117"/>
        <item x="431"/>
        <item x="182"/>
        <item x="211"/>
        <item x="370"/>
        <item x="585"/>
        <item x="475"/>
        <item x="560"/>
        <item x="283"/>
        <item x="266"/>
        <item x="215"/>
        <item x="9"/>
        <item x="268"/>
        <item x="372"/>
        <item x="452"/>
        <item x="0"/>
        <item x="278"/>
        <item x="161"/>
        <item x="488"/>
        <item x="141"/>
        <item x="524"/>
        <item x="426"/>
        <item x="561"/>
        <item x="456"/>
        <item x="449"/>
        <item x="435"/>
        <item x="112"/>
        <item x="55"/>
        <item x="406"/>
        <item x="1"/>
        <item x="468"/>
        <item x="619"/>
        <item x="18"/>
        <item x="603"/>
        <item x="57"/>
        <item x="201"/>
        <item x="565"/>
        <item x="253"/>
        <item x="232"/>
        <item x="465"/>
        <item x="582"/>
        <item x="7"/>
        <item x="290"/>
        <item x="124"/>
        <item x="595"/>
        <item x="271"/>
        <item x="429"/>
        <item x="575"/>
        <item x="569"/>
        <item x="53"/>
        <item x="418"/>
        <item x="338"/>
        <item x="27"/>
        <item x="396"/>
        <item x="479"/>
        <item x="357"/>
        <item x="169"/>
        <item x="438"/>
        <item x="347"/>
        <item x="527"/>
        <item x="564"/>
        <item x="558"/>
        <item x="221"/>
        <item x="29"/>
        <item x="151"/>
        <item x="226"/>
        <item x="529"/>
        <item x="72"/>
        <item x="248"/>
        <item x="534"/>
        <item x="424"/>
        <item x="256"/>
        <item x="384"/>
        <item x="135"/>
        <item x="373"/>
        <item x="556"/>
        <item x="133"/>
        <item x="612"/>
        <item x="460"/>
        <item x="374"/>
        <item x="361"/>
        <item x="269"/>
        <item x="105"/>
        <item x="218"/>
        <item x="321"/>
        <item x="392"/>
        <item x="236"/>
        <item x="99"/>
        <item x="217"/>
        <item x="199"/>
        <item x="162"/>
        <item x="70"/>
        <item x="241"/>
        <item x="310"/>
        <item x="202"/>
        <item x="177"/>
        <item x="2"/>
        <item x="507"/>
        <item x="367"/>
        <item x="568"/>
        <item x="204"/>
        <item x="296"/>
        <item x="153"/>
        <item x="346"/>
        <item x="559"/>
        <item x="82"/>
        <item x="525"/>
        <item x="360"/>
        <item x="501"/>
        <item x="197"/>
        <item x="156"/>
        <item x="335"/>
        <item x="44"/>
        <item x="171"/>
        <item x="383"/>
        <item x="270"/>
        <item x="23"/>
        <item x="551"/>
        <item x="499"/>
        <item x="34"/>
        <item x="351"/>
        <item x="192"/>
        <item x="250"/>
        <item x="521"/>
        <item x="381"/>
        <item x="608"/>
        <item x="329"/>
        <item x="237"/>
        <item x="402"/>
        <item x="92"/>
        <item x="50"/>
        <item x="509"/>
        <item x="146"/>
        <item x="41"/>
        <item x="128"/>
        <item x="242"/>
        <item x="25"/>
        <item x="294"/>
        <item x="464"/>
        <item x="599"/>
        <item x="621"/>
        <item x="536"/>
        <item x="583"/>
        <item x="61"/>
        <item x="288"/>
        <item x="56"/>
        <item x="64"/>
        <item x="532"/>
        <item x="516"/>
        <item x="502"/>
        <item x="258"/>
        <item x="504"/>
        <item x="336"/>
        <item x="205"/>
        <item x="91"/>
        <item x="548"/>
        <item x="496"/>
        <item x="415"/>
        <item x="503"/>
        <item x="391"/>
        <item x="284"/>
        <item x="618"/>
        <item x="251"/>
        <item x="439"/>
        <item x="291"/>
        <item x="184"/>
        <item x="522"/>
        <item x="615"/>
        <item x="311"/>
        <item x="262"/>
        <item x="448"/>
        <item x="486"/>
        <item x="394"/>
        <item x="407"/>
        <item x="594"/>
        <item x="257"/>
        <item x="142"/>
        <item x="588"/>
        <item x="228"/>
        <item x="79"/>
        <item x="495"/>
        <item x="498"/>
        <item x="326"/>
        <item x="24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Fields count="1">
    <field x="-2"/>
  </colFields>
  <colItems count="5">
    <i>
      <x/>
    </i>
    <i i="1">
      <x v="1"/>
    </i>
    <i i="2">
      <x v="2"/>
    </i>
    <i i="3">
      <x v="3"/>
    </i>
    <i i="4">
      <x v="4"/>
    </i>
  </colItems>
  <pageFields count="1">
    <pageField fld="1" hier="-1"/>
  </pageFields>
  <dataFields count="5">
    <dataField name="Avg DTI" fld="11" subtotal="average" baseField="0" baseItem="1"/>
    <dataField name="Avg Credit_Score" fld="8" subtotal="average" baseField="0" baseItem="1"/>
    <dataField name="Total loan" fld="0" subtotal="count" baseField="0" baseItem="2"/>
    <dataField name="Avg Interest Rate" fld="5" subtotal="average" baseField="0" baseItem="3"/>
    <dataField name="Total Loan Amount" fld="4" baseField="0" baseItem="4" numFmtId="164"/>
  </dataFields>
  <formats count="1">
    <format dxfId="4">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8EADDF-4EF1-4434-8BC7-B24CAB5F7AC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unding_Date">
  <location ref="G25:H30" firstHeaderRow="1" firstDataRow="1" firstDataCol="1"/>
  <pivotFields count="17">
    <pivotField showAll="0"/>
    <pivotField showAll="0">
      <items count="11">
        <item x="2"/>
        <item x="3"/>
        <item x="5"/>
        <item x="1"/>
        <item x="8"/>
        <item x="6"/>
        <item x="4"/>
        <item x="9"/>
        <item x="0"/>
        <item x="7"/>
        <item t="default"/>
      </items>
    </pivotField>
    <pivotField showAll="0"/>
    <pivotField showAll="0">
      <items count="8">
        <item x="1"/>
        <item x="5"/>
        <item x="2"/>
        <item x="3"/>
        <item x="6"/>
        <item x="0"/>
        <item x="4"/>
        <item t="default"/>
      </items>
    </pivotField>
    <pivotField dataField="1" showAll="0"/>
    <pivotField showAll="0"/>
    <pivotField showAll="0"/>
    <pivotField showAll="0"/>
    <pivotField showAll="0"/>
    <pivotField showAll="0">
      <items count="5">
        <item x="3"/>
        <item x="0"/>
        <item x="1"/>
        <item x="2"/>
        <item t="default"/>
      </items>
    </pivotField>
    <pivotField showAll="0"/>
    <pivotField showAll="0"/>
    <pivotField showAll="0">
      <items count="5">
        <item x="2"/>
        <item x="1"/>
        <item x="3"/>
        <item x="0"/>
        <item t="default"/>
      </items>
    </pivotField>
    <pivotField numFmtId="14" showAll="0">
      <items count="1245">
        <item m="1" x="904"/>
        <item m="1" x="847"/>
        <item m="1" x="1033"/>
        <item m="1" x="728"/>
        <item m="1" x="835"/>
        <item m="1" x="926"/>
        <item m="1" x="655"/>
        <item m="1" x="946"/>
        <item m="1" x="972"/>
        <item m="1" x="644"/>
        <item m="1" x="869"/>
        <item m="1" x="664"/>
        <item m="1" x="1100"/>
        <item m="1" x="984"/>
        <item m="1" x="737"/>
        <item m="1" x="711"/>
        <item m="1" x="860"/>
        <item m="1" x="643"/>
        <item m="1" x="1227"/>
        <item m="1" x="1069"/>
        <item m="1" x="800"/>
        <item m="1" x="650"/>
        <item m="1" x="1076"/>
        <item m="1" x="822"/>
        <item m="1" x="703"/>
        <item m="1" x="1049"/>
        <item m="1" x="1166"/>
        <item m="1" x="1206"/>
        <item m="1" x="1176"/>
        <item m="1" x="852"/>
        <item m="1" x="950"/>
        <item m="1" x="1106"/>
        <item m="1" x="999"/>
        <item m="1" x="698"/>
        <item m="1" x="832"/>
        <item m="1" x="1202"/>
        <item m="1" x="964"/>
        <item m="1" x="925"/>
        <item m="1" x="1155"/>
        <item m="1" x="668"/>
        <item m="1" x="689"/>
        <item m="1" x="962"/>
        <item m="1" x="693"/>
        <item m="1" x="1066"/>
        <item m="1" x="1079"/>
        <item m="1" x="922"/>
        <item m="1" x="801"/>
        <item m="1" x="706"/>
        <item m="1" x="1135"/>
        <item m="1" x="1152"/>
        <item m="1" x="724"/>
        <item m="1" x="1141"/>
        <item m="1" x="882"/>
        <item m="1" x="627"/>
        <item m="1" x="836"/>
        <item m="1" x="1231"/>
        <item m="1" x="1213"/>
        <item m="1" x="953"/>
        <item m="1" x="1235"/>
        <item m="1" x="653"/>
        <item m="1" x="1019"/>
        <item m="1" x="1122"/>
        <item m="1" x="907"/>
        <item m="1" x="771"/>
        <item m="1" x="815"/>
        <item m="1" x="1058"/>
        <item m="1" x="625"/>
        <item m="1" x="1095"/>
        <item m="1" x="1030"/>
        <item m="1" x="646"/>
        <item m="1" x="820"/>
        <item m="1" x="812"/>
        <item m="1" x="633"/>
        <item m="1" x="1215"/>
        <item m="1" x="936"/>
        <item m="1" x="862"/>
        <item m="1" x="730"/>
        <item m="1" x="1031"/>
        <item m="1" x="1184"/>
        <item m="1" x="1172"/>
        <item m="1" x="1200"/>
        <item m="1" x="1115"/>
        <item m="1" x="642"/>
        <item m="1" x="853"/>
        <item m="1" x="1032"/>
        <item m="1" x="770"/>
        <item m="1" x="818"/>
        <item m="1" x="1209"/>
        <item m="1" x="940"/>
        <item m="1" x="796"/>
        <item m="1" x="687"/>
        <item m="1" x="987"/>
        <item m="1" x="917"/>
        <item m="1" x="849"/>
        <item m="1" x="635"/>
        <item m="1" x="877"/>
        <item m="1" x="1089"/>
        <item m="1" x="1161"/>
        <item m="1" x="1232"/>
        <item m="1" x="1015"/>
        <item m="1" x="1027"/>
        <item m="1" x="626"/>
        <item m="1" x="887"/>
        <item m="1" x="813"/>
        <item m="1" x="636"/>
        <item m="1" x="1096"/>
        <item m="1" x="1062"/>
        <item m="1" x="797"/>
        <item m="1" x="632"/>
        <item m="1" x="956"/>
        <item m="1" x="761"/>
        <item m="1" x="720"/>
        <item m="1" x="844"/>
        <item m="1" x="1114"/>
        <item m="1" x="971"/>
        <item m="1" x="981"/>
        <item m="1" x="673"/>
        <item m="1" x="1167"/>
        <item m="1" x="744"/>
        <item m="1" x="919"/>
        <item m="1" x="1211"/>
        <item m="1" x="1177"/>
        <item m="1" x="810"/>
        <item m="1" x="871"/>
        <item m="1" x="1042"/>
        <item m="1" x="935"/>
        <item m="1" x="1021"/>
        <item m="1" x="648"/>
        <item m="1" x="752"/>
        <item m="1" x="856"/>
        <item m="1" x="867"/>
        <item m="1" x="657"/>
        <item m="1" x="760"/>
        <item m="1" x="697"/>
        <item m="1" x="993"/>
        <item m="1" x="772"/>
        <item m="1" x="1065"/>
        <item m="1" x="997"/>
        <item m="1" x="671"/>
        <item m="1" x="1099"/>
        <item m="1" x="1145"/>
        <item m="1" x="923"/>
        <item m="1" x="702"/>
        <item m="1" x="874"/>
        <item m="1" x="1050"/>
        <item m="1" x="1128"/>
        <item m="1" x="949"/>
        <item m="1" x="876"/>
        <item m="1" x="830"/>
        <item m="1" x="928"/>
        <item m="1" x="1134"/>
        <item m="1" x="1203"/>
        <item m="1" x="930"/>
        <item m="1" x="1092"/>
        <item m="1" x="1047"/>
        <item m="1" x="661"/>
        <item m="1" x="1199"/>
        <item m="1" x="1168"/>
        <item m="1" x="777"/>
        <item m="1" x="1067"/>
        <item m="1" x="767"/>
        <item m="1" x="1084"/>
        <item m="1" x="1179"/>
        <item m="1" x="1116"/>
        <item m="1" x="937"/>
        <item m="1" x="809"/>
        <item m="1" x="991"/>
        <item m="1" x="1212"/>
        <item m="1" x="1162"/>
        <item m="1" x="1035"/>
        <item m="1" x="1233"/>
        <item m="1" x="959"/>
        <item m="1" x="1137"/>
        <item m="1" x="1113"/>
        <item m="1" x="732"/>
        <item m="1" x="1150"/>
        <item m="1" x="680"/>
        <item m="1" x="747"/>
        <item m="1" x="1104"/>
        <item m="1" x="988"/>
        <item m="1" x="665"/>
        <item m="1" x="628"/>
        <item m="1" x="762"/>
        <item m="1" x="1098"/>
        <item m="1" x="881"/>
        <item m="1" x="785"/>
        <item m="1" x="966"/>
        <item m="1" x="691"/>
        <item m="1" x="990"/>
        <item m="1" x="786"/>
        <item m="1" x="978"/>
        <item m="1" x="1025"/>
        <item m="1" x="1054"/>
        <item m="1" x="1055"/>
        <item m="1" x="1239"/>
        <item m="1" x="759"/>
        <item m="1" x="749"/>
        <item m="1" x="998"/>
        <item m="1" x="712"/>
        <item m="1" x="909"/>
        <item m="1" x="1226"/>
        <item m="1" x="1157"/>
        <item m="1" x="1214"/>
        <item m="1" x="738"/>
        <item m="1" x="942"/>
        <item m="1" x="637"/>
        <item m="1" x="788"/>
        <item m="1" x="1223"/>
        <item m="1" x="901"/>
        <item m="1" x="745"/>
        <item m="1" x="885"/>
        <item m="1" x="1023"/>
        <item m="1" x="1185"/>
        <item m="1" x="641"/>
        <item m="1" x="851"/>
        <item m="1" x="883"/>
        <item m="1" x="802"/>
        <item m="1" x="1208"/>
        <item m="1" x="803"/>
        <item m="1" x="939"/>
        <item m="1" x="986"/>
        <item m="1" x="669"/>
        <item m="1" x="954"/>
        <item m="1" x="1195"/>
        <item m="1" x="927"/>
        <item m="1" x="781"/>
        <item m="1" x="769"/>
        <item m="1" x="705"/>
        <item m="1" x="829"/>
        <item m="1" x="787"/>
        <item m="1" x="938"/>
        <item m="1" x="914"/>
        <item m="1" x="980"/>
        <item m="1" x="753"/>
        <item m="1" x="1020"/>
        <item m="1" x="1159"/>
        <item m="1" x="1153"/>
        <item m="1" x="842"/>
        <item m="1" x="794"/>
        <item m="1" x="731"/>
        <item m="1" x="947"/>
        <item m="1" x="780"/>
        <item m="1" x="735"/>
        <item m="1" x="841"/>
        <item m="1" x="1072"/>
        <item m="1" x="902"/>
        <item m="1" x="1007"/>
        <item m="1" x="654"/>
        <item m="1" x="970"/>
        <item m="1" x="729"/>
        <item m="1" x="920"/>
        <item m="1" x="1127"/>
        <item m="1" x="1026"/>
        <item m="1" x="828"/>
        <item m="1" x="808"/>
        <item m="1" x="931"/>
        <item m="1" x="1044"/>
        <item m="1" x="831"/>
        <item m="1" x="741"/>
        <item m="1" x="1164"/>
        <item m="1" x="1222"/>
        <item m="1" x="765"/>
        <item m="1" x="977"/>
        <item m="1" x="1140"/>
        <item m="1" x="1238"/>
        <item m="1" x="1008"/>
        <item m="1" x="952"/>
        <item m="1" x="1220"/>
        <item m="1" x="1068"/>
        <item m="1" x="975"/>
        <item m="1" x="1105"/>
        <item m="1" x="1142"/>
        <item m="1" x="889"/>
        <item m="1" x="776"/>
        <item m="1" x="1119"/>
        <item m="1" x="1218"/>
        <item m="1" x="652"/>
        <item m="1" x="945"/>
        <item m="1" x="779"/>
        <item m="1" x="722"/>
        <item m="1" x="795"/>
        <item m="1" x="911"/>
        <item m="1" x="1009"/>
        <item m="1" x="1039"/>
        <item m="1" x="868"/>
        <item m="1" x="1063"/>
        <item m="1" x="766"/>
        <item m="1" x="696"/>
        <item m="1" x="1130"/>
        <item m="1" x="630"/>
        <item m="1" x="1081"/>
        <item m="1" x="681"/>
        <item m="1" x="915"/>
        <item m="1" x="1059"/>
        <item m="1" x="1052"/>
        <item m="1" x="1175"/>
        <item m="1" x="825"/>
        <item m="1" x="740"/>
        <item m="1" x="965"/>
        <item m="1" x="1075"/>
        <item m="1" x="699"/>
        <item m="1" x="1012"/>
        <item m="1" x="1077"/>
        <item m="1" x="684"/>
        <item m="1" x="1229"/>
        <item m="1" x="929"/>
        <item m="1" x="899"/>
        <item m="1" x="895"/>
        <item m="1" x="961"/>
        <item m="1" x="1088"/>
        <item m="1" x="1103"/>
        <item m="1" x="1139"/>
        <item m="1" x="1107"/>
        <item m="1" x="1085"/>
        <item m="1" x="1174"/>
        <item m="1" x="754"/>
        <item m="1" x="817"/>
        <item m="1" x="897"/>
        <item m="1" x="1011"/>
        <item m="1" x="1080"/>
        <item m="1" x="963"/>
        <item m="1" x="1224"/>
        <item m="1" x="1192"/>
        <item m="1" x="1228"/>
        <item m="1" x="985"/>
        <item m="1" x="1112"/>
        <item m="1" x="967"/>
        <item m="1" x="639"/>
        <item m="1" x="1041"/>
        <item m="1" x="1045"/>
        <item m="1" x="886"/>
        <item m="1" x="1242"/>
        <item m="1" x="1196"/>
        <item m="1" x="1094"/>
        <item m="1" x="807"/>
        <item m="1" x="898"/>
        <item m="1" x="718"/>
        <item m="1" x="924"/>
        <item m="1" x="670"/>
        <item m="1" x="743"/>
        <item m="1" x="1236"/>
        <item m="1" x="1198"/>
        <item m="1" x="855"/>
        <item m="1" x="1109"/>
        <item m="1" x="805"/>
        <item m="1" x="1102"/>
        <item m="1" x="1036"/>
        <item m="1" x="723"/>
        <item m="1" x="790"/>
        <item m="1" x="1022"/>
        <item m="1" x="934"/>
        <item m="1" x="1132"/>
        <item m="1" x="1160"/>
        <item m="1" x="861"/>
        <item m="1" x="1001"/>
        <item m="1" x="748"/>
        <item m="1" x="1193"/>
        <item m="1" x="903"/>
        <item m="1" x="733"/>
        <item m="1" x="1043"/>
        <item m="1" x="944"/>
        <item m="1" x="857"/>
        <item m="1" x="715"/>
        <item m="1" x="756"/>
        <item m="1" x="908"/>
        <item m="1" x="1165"/>
        <item m="1" x="792"/>
        <item m="1" x="1002"/>
        <item m="1" x="811"/>
        <item m="1" x="1064"/>
        <item m="1" x="1004"/>
        <item m="1" x="1201"/>
        <item m="1" x="816"/>
        <item m="1" x="1189"/>
        <item m="1" x="707"/>
        <item m="1" x="700"/>
        <item m="1" x="719"/>
        <item m="1" x="846"/>
        <item m="1" x="941"/>
        <item m="1" x="736"/>
        <item m="1" x="838"/>
        <item m="1" x="865"/>
        <item m="1" x="717"/>
        <item m="1" x="1188"/>
        <item m="1" x="782"/>
        <item m="1" x="658"/>
        <item m="1" x="674"/>
        <item m="1" x="1091"/>
        <item m="1" x="660"/>
        <item m="1" x="708"/>
        <item m="1" x="716"/>
        <item m="1" x="1148"/>
        <item m="1" x="774"/>
        <item m="1" x="1093"/>
        <item m="1" x="1038"/>
        <item m="1" x="751"/>
        <item m="1" x="894"/>
        <item m="1" x="1194"/>
        <item m="1" x="974"/>
        <item m="1" x="798"/>
        <item m="1" x="1163"/>
        <item m="1" x="659"/>
        <item m="1" x="725"/>
        <item m="1" x="1083"/>
        <item m="1" x="634"/>
        <item m="1" x="662"/>
        <item m="1" x="1219"/>
        <item m="1" x="690"/>
        <item m="1" x="1169"/>
        <item m="1" x="758"/>
        <item m="1" x="1171"/>
        <item m="1" x="638"/>
        <item m="1" x="896"/>
        <item m="1" x="709"/>
        <item m="1" x="1056"/>
        <item m="1" x="695"/>
        <item m="1" x="685"/>
        <item m="1" x="1073"/>
        <item m="1" x="682"/>
        <item m="1" x="1017"/>
        <item m="1" x="667"/>
        <item m="1" x="1111"/>
        <item m="1" x="976"/>
        <item m="1" x="742"/>
        <item m="1" x="921"/>
        <item m="1" x="1000"/>
        <item m="1" x="955"/>
        <item m="1" x="710"/>
        <item m="1" x="1010"/>
        <item m="1" x="1133"/>
        <item m="1" x="845"/>
        <item m="1" x="834"/>
        <item m="1" x="726"/>
        <item m="1" x="676"/>
        <item m="1" x="688"/>
        <item m="1" x="1136"/>
        <item m="1" x="789"/>
        <item m="1" x="1034"/>
        <item m="1" x="739"/>
        <item m="1" x="1053"/>
        <item m="1" x="804"/>
        <item m="1" x="833"/>
        <item m="1" x="992"/>
        <item m="1" x="1207"/>
        <item m="1" x="1097"/>
        <item m="1" x="1182"/>
        <item m="1" x="905"/>
        <item m="1" x="888"/>
        <item m="1" x="837"/>
        <item m="1" x="631"/>
        <item m="1" x="890"/>
        <item m="1" x="994"/>
        <item m="1" x="1074"/>
        <item m="1" x="622"/>
        <item m="1" x="900"/>
        <item m="1" x="783"/>
        <item m="1" x="1110"/>
        <item m="1" x="763"/>
        <item m="1" x="1146"/>
        <item m="1" x="1048"/>
        <item m="1" x="1183"/>
        <item m="1" x="1078"/>
        <item m="1" x="1071"/>
        <item m="1" x="1057"/>
        <item m="1" x="734"/>
        <item m="1" x="677"/>
        <item m="1" x="1028"/>
        <item m="1" x="623"/>
        <item m="1" x="1090"/>
        <item m="1" x="1241"/>
        <item m="1" x="640"/>
        <item m="1" x="1225"/>
        <item m="1" x="679"/>
        <item m="1" x="823"/>
        <item m="1" x="1187"/>
        <item m="1" x="875"/>
        <item m="1" x="854"/>
        <item m="1" x="1087"/>
        <item m="1" x="1204"/>
        <item m="1" x="629"/>
        <item m="1" x="912"/>
        <item m="1" x="746"/>
        <item m="1" x="1217"/>
        <item m="1" x="893"/>
        <item m="1" x="1051"/>
        <item m="1" x="1197"/>
        <item m="1" x="1191"/>
        <item m="1" x="675"/>
        <item m="1" x="1040"/>
        <item m="1" x="960"/>
        <item m="1" x="649"/>
        <item m="1" x="1018"/>
        <item m="1" x="1101"/>
        <item m="1" x="979"/>
        <item m="1" x="791"/>
        <item m="1" x="1060"/>
        <item m="1" x="969"/>
        <item m="1" x="1149"/>
        <item m="1" x="1186"/>
        <item m="1" x="1180"/>
        <item m="1" x="843"/>
        <item m="1" x="651"/>
        <item m="1" x="773"/>
        <item m="1" x="848"/>
        <item m="1" x="1151"/>
        <item m="1" x="694"/>
        <item m="1" x="870"/>
        <item m="1" x="1156"/>
        <item m="1" x="1046"/>
        <item m="1" x="878"/>
        <item m="1" x="1006"/>
        <item m="1" x="757"/>
        <item m="1" x="995"/>
        <item m="1" x="1178"/>
        <item m="1" x="755"/>
        <item m="1" x="1234"/>
        <item m="1" x="1082"/>
        <item m="1" x="996"/>
        <item m="1" x="983"/>
        <item m="1" x="891"/>
        <item m="1" x="727"/>
        <item m="1" x="840"/>
        <item m="1" x="943"/>
        <item m="1" x="1014"/>
        <item m="1" x="858"/>
        <item m="1" x="721"/>
        <item m="1" x="839"/>
        <item m="1" x="821"/>
        <item m="1" x="784"/>
        <item m="1" x="692"/>
        <item m="1" x="863"/>
        <item m="1" x="932"/>
        <item m="1" x="824"/>
        <item m="1" x="799"/>
        <item m="1" x="624"/>
        <item m="1" x="1129"/>
        <item m="1" x="989"/>
        <item m="1" x="1190"/>
        <item m="1" x="826"/>
        <item m="1" x="918"/>
        <item m="1" x="775"/>
        <item m="1" x="968"/>
        <item m="1" x="1181"/>
        <item m="1" x="704"/>
        <item m="1" x="1147"/>
        <item m="1" x="982"/>
        <item m="1" x="1123"/>
        <item m="1" x="819"/>
        <item m="1" x="778"/>
        <item m="1" x="957"/>
        <item m="1" x="666"/>
        <item m="1" x="793"/>
        <item m="1" x="1005"/>
        <item m="1" x="892"/>
        <item m="1" x="645"/>
        <item m="1" x="1173"/>
        <item m="1" x="1121"/>
        <item m="1" x="656"/>
        <item m="1" x="973"/>
        <item m="1" x="814"/>
        <item m="1" x="872"/>
        <item m="1" x="1143"/>
        <item m="1" x="1003"/>
        <item m="1" x="1230"/>
        <item m="1" x="951"/>
        <item m="1" x="859"/>
        <item m="1" x="1024"/>
        <item m="1" x="714"/>
        <item m="1" x="672"/>
        <item m="1" x="1131"/>
        <item m="1" x="768"/>
        <item m="1" x="663"/>
        <item m="1" x="750"/>
        <item m="1" x="864"/>
        <item m="1" x="647"/>
        <item m="1" x="916"/>
        <item m="1" x="1086"/>
        <item m="1" x="1221"/>
        <item m="1" x="1243"/>
        <item m="1" x="1158"/>
        <item m="1" x="1205"/>
        <item m="1" x="683"/>
        <item m="1" x="910"/>
        <item m="1" x="678"/>
        <item m="1" x="686"/>
        <item m="1" x="1154"/>
        <item m="1" x="1138"/>
        <item m="1" x="1124"/>
        <item m="1" x="880"/>
        <item m="1" x="1126"/>
        <item m="1" x="958"/>
        <item m="1" x="827"/>
        <item m="1" x="713"/>
        <item m="1" x="1170"/>
        <item m="1" x="1118"/>
        <item m="1" x="1037"/>
        <item m="1" x="1125"/>
        <item m="1" x="1013"/>
        <item m="1" x="906"/>
        <item m="1" x="1240"/>
        <item m="1" x="873"/>
        <item m="1" x="1061"/>
        <item m="1" x="913"/>
        <item m="1" x="806"/>
        <item m="1" x="1144"/>
        <item m="1" x="1237"/>
        <item m="1" x="933"/>
        <item m="1" x="884"/>
        <item m="1" x="1070"/>
        <item m="1" x="1108"/>
        <item m="1" x="1016"/>
        <item m="1" x="1029"/>
        <item m="1" x="1216"/>
        <item m="1" x="879"/>
        <item m="1" x="764"/>
        <item m="1" x="1210"/>
        <item m="1" x="850"/>
        <item m="1" x="701"/>
        <item m="1" x="1117"/>
        <item m="1" x="1120"/>
        <item m="1" x="948"/>
        <item m="1" x="866"/>
        <item x="282"/>
        <item x="225"/>
        <item x="411"/>
        <item x="106"/>
        <item x="213"/>
        <item x="304"/>
        <item x="33"/>
        <item x="324"/>
        <item x="350"/>
        <item x="22"/>
        <item x="247"/>
        <item x="42"/>
        <item x="478"/>
        <item x="362"/>
        <item x="115"/>
        <item x="89"/>
        <item x="238"/>
        <item x="21"/>
        <item x="605"/>
        <item x="447"/>
        <item x="178"/>
        <item x="28"/>
        <item x="454"/>
        <item x="200"/>
        <item x="81"/>
        <item x="427"/>
        <item x="544"/>
        <item x="584"/>
        <item x="554"/>
        <item x="230"/>
        <item x="328"/>
        <item x="484"/>
        <item x="377"/>
        <item x="76"/>
        <item x="210"/>
        <item x="580"/>
        <item x="342"/>
        <item x="303"/>
        <item x="533"/>
        <item x="46"/>
        <item x="67"/>
        <item x="340"/>
        <item x="71"/>
        <item x="444"/>
        <item x="457"/>
        <item x="300"/>
        <item x="179"/>
        <item x="84"/>
        <item x="513"/>
        <item x="530"/>
        <item x="102"/>
        <item x="519"/>
        <item x="260"/>
        <item x="5"/>
        <item x="214"/>
        <item x="609"/>
        <item x="591"/>
        <item x="331"/>
        <item x="613"/>
        <item x="31"/>
        <item x="397"/>
        <item x="500"/>
        <item x="285"/>
        <item x="149"/>
        <item x="193"/>
        <item x="436"/>
        <item x="3"/>
        <item x="473"/>
        <item x="408"/>
        <item x="24"/>
        <item x="198"/>
        <item x="190"/>
        <item x="11"/>
        <item x="593"/>
        <item x="314"/>
        <item x="240"/>
        <item x="108"/>
        <item x="409"/>
        <item x="562"/>
        <item x="550"/>
        <item x="578"/>
        <item x="493"/>
        <item x="20"/>
        <item x="231"/>
        <item x="410"/>
        <item x="148"/>
        <item x="196"/>
        <item x="587"/>
        <item x="318"/>
        <item x="174"/>
        <item x="65"/>
        <item x="365"/>
        <item x="295"/>
        <item x="227"/>
        <item x="13"/>
        <item x="255"/>
        <item x="467"/>
        <item x="539"/>
        <item x="610"/>
        <item x="393"/>
        <item x="405"/>
        <item x="4"/>
        <item x="265"/>
        <item x="191"/>
        <item x="14"/>
        <item x="474"/>
        <item x="440"/>
        <item x="175"/>
        <item x="10"/>
        <item x="334"/>
        <item x="139"/>
        <item x="98"/>
        <item x="222"/>
        <item x="492"/>
        <item x="349"/>
        <item x="359"/>
        <item x="51"/>
        <item x="545"/>
        <item x="122"/>
        <item x="297"/>
        <item x="589"/>
        <item x="555"/>
        <item x="188"/>
        <item x="249"/>
        <item x="420"/>
        <item x="313"/>
        <item x="399"/>
        <item x="26"/>
        <item x="130"/>
        <item x="234"/>
        <item x="245"/>
        <item x="35"/>
        <item x="138"/>
        <item x="75"/>
        <item x="371"/>
        <item x="150"/>
        <item x="443"/>
        <item x="375"/>
        <item x="49"/>
        <item x="477"/>
        <item x="523"/>
        <item x="301"/>
        <item x="80"/>
        <item x="252"/>
        <item x="428"/>
        <item x="506"/>
        <item x="327"/>
        <item x="254"/>
        <item x="208"/>
        <item x="306"/>
        <item x="512"/>
        <item x="581"/>
        <item x="308"/>
        <item x="470"/>
        <item x="425"/>
        <item x="39"/>
        <item x="577"/>
        <item x="546"/>
        <item x="155"/>
        <item x="445"/>
        <item x="145"/>
        <item x="462"/>
        <item x="557"/>
        <item x="494"/>
        <item x="315"/>
        <item x="187"/>
        <item x="369"/>
        <item x="590"/>
        <item x="540"/>
        <item x="413"/>
        <item x="611"/>
        <item x="337"/>
        <item x="515"/>
        <item x="491"/>
        <item x="110"/>
        <item x="528"/>
        <item x="58"/>
        <item x="125"/>
        <item x="482"/>
        <item x="366"/>
        <item x="43"/>
        <item x="6"/>
        <item x="140"/>
        <item x="476"/>
        <item x="259"/>
        <item x="163"/>
        <item x="344"/>
        <item x="69"/>
        <item x="368"/>
        <item x="164"/>
        <item x="356"/>
        <item x="403"/>
        <item x="432"/>
        <item x="433"/>
        <item x="617"/>
        <item x="137"/>
        <item x="127"/>
        <item x="376"/>
        <item x="90"/>
        <item x="287"/>
        <item x="604"/>
        <item x="535"/>
        <item x="592"/>
        <item x="116"/>
        <item x="320"/>
        <item x="15"/>
        <item x="166"/>
        <item x="601"/>
        <item x="279"/>
        <item x="123"/>
        <item x="263"/>
        <item x="401"/>
        <item x="563"/>
        <item x="19"/>
        <item x="229"/>
        <item x="261"/>
        <item x="180"/>
        <item x="586"/>
        <item x="181"/>
        <item x="317"/>
        <item x="364"/>
        <item x="47"/>
        <item x="332"/>
        <item x="573"/>
        <item x="305"/>
        <item x="159"/>
        <item x="147"/>
        <item x="83"/>
        <item x="207"/>
        <item x="165"/>
        <item x="316"/>
        <item x="292"/>
        <item x="358"/>
        <item x="131"/>
        <item x="398"/>
        <item x="537"/>
        <item x="531"/>
        <item x="220"/>
        <item x="172"/>
        <item x="109"/>
        <item x="325"/>
        <item x="158"/>
        <item x="113"/>
        <item x="219"/>
        <item x="450"/>
        <item x="280"/>
        <item x="385"/>
        <item x="32"/>
        <item x="348"/>
        <item x="107"/>
        <item x="298"/>
        <item x="505"/>
        <item x="404"/>
        <item x="206"/>
        <item x="186"/>
        <item x="309"/>
        <item x="422"/>
        <item x="209"/>
        <item x="119"/>
        <item x="542"/>
        <item x="600"/>
        <item x="143"/>
        <item x="355"/>
        <item x="518"/>
        <item x="616"/>
        <item x="386"/>
        <item x="330"/>
        <item x="598"/>
        <item x="446"/>
        <item x="353"/>
        <item x="483"/>
        <item x="520"/>
        <item x="267"/>
        <item x="154"/>
        <item x="497"/>
        <item x="596"/>
        <item x="30"/>
        <item x="323"/>
        <item x="157"/>
        <item x="100"/>
        <item x="173"/>
        <item x="289"/>
        <item x="387"/>
        <item x="417"/>
        <item x="246"/>
        <item x="441"/>
        <item x="144"/>
        <item x="74"/>
        <item x="508"/>
        <item x="8"/>
        <item x="459"/>
        <item x="59"/>
        <item x="293"/>
        <item x="437"/>
        <item x="430"/>
        <item x="553"/>
        <item x="203"/>
        <item x="118"/>
        <item x="343"/>
        <item x="453"/>
        <item x="77"/>
        <item x="390"/>
        <item x="455"/>
        <item x="62"/>
        <item x="607"/>
        <item x="307"/>
        <item x="277"/>
        <item x="273"/>
        <item x="339"/>
        <item x="466"/>
        <item x="481"/>
        <item x="517"/>
        <item x="485"/>
        <item x="463"/>
        <item x="552"/>
        <item x="132"/>
        <item x="195"/>
        <item x="275"/>
        <item x="389"/>
        <item x="458"/>
        <item x="341"/>
        <item x="602"/>
        <item x="570"/>
        <item x="606"/>
        <item x="363"/>
        <item x="490"/>
        <item x="345"/>
        <item x="17"/>
        <item x="419"/>
        <item x="423"/>
        <item x="264"/>
        <item x="620"/>
        <item x="574"/>
        <item x="472"/>
        <item x="185"/>
        <item x="276"/>
        <item x="96"/>
        <item x="302"/>
        <item x="48"/>
        <item x="121"/>
        <item x="614"/>
        <item x="576"/>
        <item x="233"/>
        <item x="487"/>
        <item x="183"/>
        <item x="480"/>
        <item x="414"/>
        <item x="101"/>
        <item x="168"/>
        <item x="400"/>
        <item x="312"/>
        <item x="510"/>
        <item x="538"/>
        <item x="239"/>
        <item x="379"/>
        <item x="126"/>
        <item x="571"/>
        <item x="281"/>
        <item x="111"/>
        <item x="421"/>
        <item x="322"/>
        <item x="235"/>
        <item x="93"/>
        <item x="134"/>
        <item x="286"/>
        <item x="543"/>
        <item x="170"/>
        <item x="380"/>
        <item x="189"/>
        <item x="442"/>
        <item x="382"/>
        <item x="579"/>
        <item x="194"/>
        <item x="567"/>
        <item x="85"/>
        <item x="78"/>
        <item x="97"/>
        <item x="224"/>
        <item x="319"/>
        <item x="114"/>
        <item x="216"/>
        <item x="243"/>
        <item x="95"/>
        <item x="566"/>
        <item x="160"/>
        <item x="36"/>
        <item x="52"/>
        <item x="469"/>
        <item x="38"/>
        <item x="86"/>
        <item x="94"/>
        <item x="526"/>
        <item x="152"/>
        <item x="471"/>
        <item x="416"/>
        <item x="129"/>
        <item x="272"/>
        <item x="572"/>
        <item x="352"/>
        <item x="176"/>
        <item x="541"/>
        <item x="37"/>
        <item x="103"/>
        <item x="461"/>
        <item x="12"/>
        <item x="40"/>
        <item x="597"/>
        <item x="68"/>
        <item x="547"/>
        <item x="136"/>
        <item x="549"/>
        <item x="16"/>
        <item x="274"/>
        <item x="87"/>
        <item x="434"/>
        <item x="73"/>
        <item x="63"/>
        <item x="451"/>
        <item x="60"/>
        <item x="395"/>
        <item x="45"/>
        <item x="489"/>
        <item x="354"/>
        <item x="120"/>
        <item x="299"/>
        <item x="378"/>
        <item x="333"/>
        <item x="88"/>
        <item x="388"/>
        <item x="511"/>
        <item x="223"/>
        <item x="212"/>
        <item x="104"/>
        <item x="54"/>
        <item x="66"/>
        <item x="514"/>
        <item x="167"/>
        <item x="412"/>
        <item x="117"/>
        <item x="431"/>
        <item x="182"/>
        <item x="211"/>
        <item x="370"/>
        <item x="585"/>
        <item x="475"/>
        <item x="560"/>
        <item x="283"/>
        <item x="266"/>
        <item x="215"/>
        <item x="9"/>
        <item x="268"/>
        <item x="372"/>
        <item x="452"/>
        <item x="0"/>
        <item x="278"/>
        <item x="161"/>
        <item x="488"/>
        <item x="141"/>
        <item x="524"/>
        <item x="426"/>
        <item x="561"/>
        <item x="456"/>
        <item x="449"/>
        <item x="435"/>
        <item x="112"/>
        <item x="55"/>
        <item x="406"/>
        <item x="1"/>
        <item x="468"/>
        <item x="619"/>
        <item x="18"/>
        <item x="603"/>
        <item x="57"/>
        <item x="201"/>
        <item x="565"/>
        <item x="253"/>
        <item x="232"/>
        <item x="465"/>
        <item x="582"/>
        <item x="7"/>
        <item x="290"/>
        <item x="124"/>
        <item x="595"/>
        <item x="271"/>
        <item x="429"/>
        <item x="575"/>
        <item x="569"/>
        <item x="53"/>
        <item x="418"/>
        <item x="338"/>
        <item x="27"/>
        <item x="396"/>
        <item x="479"/>
        <item x="357"/>
        <item x="169"/>
        <item x="438"/>
        <item x="347"/>
        <item x="527"/>
        <item x="564"/>
        <item x="558"/>
        <item x="221"/>
        <item x="29"/>
        <item x="151"/>
        <item x="226"/>
        <item x="529"/>
        <item x="72"/>
        <item x="248"/>
        <item x="534"/>
        <item x="424"/>
        <item x="256"/>
        <item x="384"/>
        <item x="135"/>
        <item x="373"/>
        <item x="556"/>
        <item x="133"/>
        <item x="612"/>
        <item x="460"/>
        <item x="374"/>
        <item x="361"/>
        <item x="269"/>
        <item x="105"/>
        <item x="218"/>
        <item x="321"/>
        <item x="392"/>
        <item x="236"/>
        <item x="99"/>
        <item x="217"/>
        <item x="199"/>
        <item x="162"/>
        <item x="70"/>
        <item x="241"/>
        <item x="310"/>
        <item x="202"/>
        <item x="177"/>
        <item x="2"/>
        <item x="507"/>
        <item x="367"/>
        <item x="568"/>
        <item x="204"/>
        <item x="296"/>
        <item x="153"/>
        <item x="346"/>
        <item x="559"/>
        <item x="82"/>
        <item x="525"/>
        <item x="360"/>
        <item x="501"/>
        <item x="197"/>
        <item x="156"/>
        <item x="335"/>
        <item x="44"/>
        <item x="171"/>
        <item x="383"/>
        <item x="270"/>
        <item x="23"/>
        <item x="551"/>
        <item x="499"/>
        <item x="34"/>
        <item x="351"/>
        <item x="192"/>
        <item x="250"/>
        <item x="521"/>
        <item x="381"/>
        <item x="608"/>
        <item x="329"/>
        <item x="237"/>
        <item x="402"/>
        <item x="92"/>
        <item x="50"/>
        <item x="509"/>
        <item x="146"/>
        <item x="41"/>
        <item x="128"/>
        <item x="242"/>
        <item x="25"/>
        <item x="294"/>
        <item x="464"/>
        <item x="599"/>
        <item x="621"/>
        <item x="536"/>
        <item x="583"/>
        <item x="61"/>
        <item x="288"/>
        <item x="56"/>
        <item x="64"/>
        <item x="532"/>
        <item x="516"/>
        <item x="502"/>
        <item x="258"/>
        <item x="504"/>
        <item x="336"/>
        <item x="205"/>
        <item x="91"/>
        <item x="548"/>
        <item x="496"/>
        <item x="415"/>
        <item x="503"/>
        <item x="391"/>
        <item x="284"/>
        <item x="618"/>
        <item x="251"/>
        <item x="439"/>
        <item x="291"/>
        <item x="184"/>
        <item x="522"/>
        <item x="615"/>
        <item x="311"/>
        <item x="262"/>
        <item x="448"/>
        <item x="486"/>
        <item x="394"/>
        <item x="407"/>
        <item x="594"/>
        <item x="257"/>
        <item x="142"/>
        <item x="588"/>
        <item x="228"/>
        <item x="79"/>
        <item x="495"/>
        <item x="498"/>
        <item x="326"/>
        <item x="244"/>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7">
        <item x="0"/>
        <item sd="0" x="1"/>
        <item sd="0" x="2"/>
        <item sd="0" x="3"/>
        <item sd="0" x="4"/>
        <item x="5"/>
        <item t="default"/>
      </items>
    </pivotField>
  </pivotFields>
  <rowFields count="2">
    <field x="16"/>
    <field x="15"/>
  </rowFields>
  <rowItems count="5">
    <i>
      <x v="1"/>
    </i>
    <i>
      <x v="2"/>
    </i>
    <i>
      <x v="3"/>
    </i>
    <i>
      <x v="4"/>
    </i>
    <i t="grand">
      <x/>
    </i>
  </rowItems>
  <colItems count="1">
    <i/>
  </colItems>
  <dataFields count="1">
    <dataField name="Sum of Loan_Amount_CAD" fld="4" baseField="1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3A9ABA-547D-4D0F-8C80-C8B1041C6F2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C20" firstHeaderRow="0" firstDataRow="1" firstDataCol="1"/>
  <pivotFields count="17">
    <pivotField dataField="1" showAll="0"/>
    <pivotField showAll="0">
      <items count="11">
        <item x="2"/>
        <item x="3"/>
        <item x="5"/>
        <item x="1"/>
        <item x="8"/>
        <item x="6"/>
        <item x="4"/>
        <item x="9"/>
        <item x="0"/>
        <item x="7"/>
        <item t="default"/>
      </items>
    </pivotField>
    <pivotField showAll="0"/>
    <pivotField showAll="0">
      <items count="8">
        <item x="1"/>
        <item x="5"/>
        <item x="2"/>
        <item x="3"/>
        <item x="6"/>
        <item x="0"/>
        <item x="4"/>
        <item t="default"/>
      </items>
    </pivotField>
    <pivotField dataField="1" showAll="0"/>
    <pivotField showAll="0"/>
    <pivotField showAll="0"/>
    <pivotField showAll="0"/>
    <pivotField showAll="0"/>
    <pivotField showAll="0">
      <items count="5">
        <item x="3"/>
        <item x="0"/>
        <item x="1"/>
        <item x="2"/>
        <item t="default"/>
      </items>
    </pivotField>
    <pivotField showAll="0"/>
    <pivotField showAll="0"/>
    <pivotField axis="axisRow" showAll="0">
      <items count="5">
        <item x="2"/>
        <item x="1"/>
        <item x="3"/>
        <item x="0"/>
        <item t="default"/>
      </items>
    </pivotField>
    <pivotField showAll="0">
      <items count="1245">
        <item m="1" x="904"/>
        <item m="1" x="847"/>
        <item m="1" x="1033"/>
        <item m="1" x="728"/>
        <item m="1" x="835"/>
        <item m="1" x="926"/>
        <item m="1" x="655"/>
        <item m="1" x="946"/>
        <item m="1" x="972"/>
        <item m="1" x="644"/>
        <item m="1" x="869"/>
        <item m="1" x="664"/>
        <item m="1" x="1100"/>
        <item m="1" x="984"/>
        <item m="1" x="737"/>
        <item m="1" x="711"/>
        <item m="1" x="860"/>
        <item m="1" x="643"/>
        <item m="1" x="1227"/>
        <item m="1" x="1069"/>
        <item m="1" x="800"/>
        <item m="1" x="650"/>
        <item m="1" x="1076"/>
        <item m="1" x="822"/>
        <item m="1" x="703"/>
        <item m="1" x="1049"/>
        <item m="1" x="1166"/>
        <item m="1" x="1206"/>
        <item m="1" x="1176"/>
        <item m="1" x="852"/>
        <item m="1" x="950"/>
        <item m="1" x="1106"/>
        <item m="1" x="999"/>
        <item m="1" x="698"/>
        <item m="1" x="832"/>
        <item m="1" x="1202"/>
        <item m="1" x="964"/>
        <item m="1" x="925"/>
        <item m="1" x="1155"/>
        <item m="1" x="668"/>
        <item m="1" x="689"/>
        <item m="1" x="962"/>
        <item m="1" x="693"/>
        <item m="1" x="1066"/>
        <item m="1" x="1079"/>
        <item m="1" x="922"/>
        <item m="1" x="801"/>
        <item m="1" x="706"/>
        <item m="1" x="1135"/>
        <item m="1" x="1152"/>
        <item m="1" x="724"/>
        <item m="1" x="1141"/>
        <item m="1" x="882"/>
        <item m="1" x="627"/>
        <item m="1" x="836"/>
        <item m="1" x="1231"/>
        <item m="1" x="1213"/>
        <item m="1" x="953"/>
        <item m="1" x="1235"/>
        <item m="1" x="653"/>
        <item m="1" x="1019"/>
        <item m="1" x="1122"/>
        <item m="1" x="907"/>
        <item m="1" x="771"/>
        <item m="1" x="815"/>
        <item m="1" x="1058"/>
        <item m="1" x="625"/>
        <item m="1" x="1095"/>
        <item m="1" x="1030"/>
        <item m="1" x="646"/>
        <item m="1" x="820"/>
        <item m="1" x="812"/>
        <item m="1" x="633"/>
        <item m="1" x="1215"/>
        <item m="1" x="936"/>
        <item m="1" x="862"/>
        <item m="1" x="730"/>
        <item m="1" x="1031"/>
        <item m="1" x="1184"/>
        <item m="1" x="1172"/>
        <item m="1" x="1200"/>
        <item m="1" x="1115"/>
        <item m="1" x="642"/>
        <item m="1" x="853"/>
        <item m="1" x="1032"/>
        <item m="1" x="770"/>
        <item m="1" x="818"/>
        <item m="1" x="1209"/>
        <item m="1" x="940"/>
        <item m="1" x="796"/>
        <item m="1" x="687"/>
        <item m="1" x="987"/>
        <item m="1" x="917"/>
        <item m="1" x="849"/>
        <item m="1" x="635"/>
        <item m="1" x="877"/>
        <item m="1" x="1089"/>
        <item m="1" x="1161"/>
        <item m="1" x="1232"/>
        <item m="1" x="1015"/>
        <item m="1" x="1027"/>
        <item m="1" x="626"/>
        <item m="1" x="887"/>
        <item m="1" x="813"/>
        <item m="1" x="636"/>
        <item m="1" x="1096"/>
        <item m="1" x="1062"/>
        <item m="1" x="797"/>
        <item m="1" x="632"/>
        <item m="1" x="956"/>
        <item m="1" x="761"/>
        <item m="1" x="720"/>
        <item m="1" x="844"/>
        <item m="1" x="1114"/>
        <item m="1" x="971"/>
        <item m="1" x="981"/>
        <item m="1" x="673"/>
        <item m="1" x="1167"/>
        <item m="1" x="744"/>
        <item m="1" x="919"/>
        <item m="1" x="1211"/>
        <item m="1" x="1177"/>
        <item m="1" x="810"/>
        <item m="1" x="871"/>
        <item m="1" x="1042"/>
        <item m="1" x="935"/>
        <item m="1" x="1021"/>
        <item m="1" x="648"/>
        <item m="1" x="752"/>
        <item m="1" x="856"/>
        <item m="1" x="867"/>
        <item m="1" x="657"/>
        <item m="1" x="760"/>
        <item m="1" x="697"/>
        <item m="1" x="993"/>
        <item m="1" x="772"/>
        <item m="1" x="1065"/>
        <item m="1" x="997"/>
        <item m="1" x="671"/>
        <item m="1" x="1099"/>
        <item m="1" x="1145"/>
        <item m="1" x="923"/>
        <item m="1" x="702"/>
        <item m="1" x="874"/>
        <item m="1" x="1050"/>
        <item m="1" x="1128"/>
        <item m="1" x="949"/>
        <item m="1" x="876"/>
        <item m="1" x="830"/>
        <item m="1" x="928"/>
        <item m="1" x="1134"/>
        <item m="1" x="1203"/>
        <item m="1" x="930"/>
        <item m="1" x="1092"/>
        <item m="1" x="1047"/>
        <item m="1" x="661"/>
        <item m="1" x="1199"/>
        <item m="1" x="1168"/>
        <item m="1" x="777"/>
        <item m="1" x="1067"/>
        <item m="1" x="767"/>
        <item m="1" x="1084"/>
        <item m="1" x="1179"/>
        <item m="1" x="1116"/>
        <item m="1" x="937"/>
        <item m="1" x="809"/>
        <item m="1" x="991"/>
        <item m="1" x="1212"/>
        <item m="1" x="1162"/>
        <item m="1" x="1035"/>
        <item m="1" x="1233"/>
        <item m="1" x="959"/>
        <item m="1" x="1137"/>
        <item m="1" x="1113"/>
        <item m="1" x="732"/>
        <item m="1" x="1150"/>
        <item m="1" x="680"/>
        <item m="1" x="747"/>
        <item m="1" x="1104"/>
        <item m="1" x="988"/>
        <item m="1" x="665"/>
        <item m="1" x="628"/>
        <item m="1" x="762"/>
        <item m="1" x="1098"/>
        <item m="1" x="881"/>
        <item m="1" x="785"/>
        <item m="1" x="966"/>
        <item m="1" x="691"/>
        <item m="1" x="990"/>
        <item m="1" x="786"/>
        <item m="1" x="978"/>
        <item m="1" x="1025"/>
        <item m="1" x="1054"/>
        <item m="1" x="1055"/>
        <item m="1" x="1239"/>
        <item m="1" x="759"/>
        <item m="1" x="749"/>
        <item m="1" x="998"/>
        <item m="1" x="712"/>
        <item m="1" x="909"/>
        <item m="1" x="1226"/>
        <item m="1" x="1157"/>
        <item m="1" x="1214"/>
        <item m="1" x="738"/>
        <item m="1" x="942"/>
        <item m="1" x="637"/>
        <item m="1" x="788"/>
        <item m="1" x="1223"/>
        <item m="1" x="901"/>
        <item m="1" x="745"/>
        <item m="1" x="885"/>
        <item m="1" x="1023"/>
        <item m="1" x="1185"/>
        <item m="1" x="641"/>
        <item m="1" x="851"/>
        <item m="1" x="883"/>
        <item m="1" x="802"/>
        <item m="1" x="1208"/>
        <item m="1" x="803"/>
        <item m="1" x="939"/>
        <item m="1" x="986"/>
        <item m="1" x="669"/>
        <item m="1" x="954"/>
        <item m="1" x="1195"/>
        <item m="1" x="927"/>
        <item m="1" x="781"/>
        <item m="1" x="769"/>
        <item m="1" x="705"/>
        <item m="1" x="829"/>
        <item m="1" x="787"/>
        <item m="1" x="938"/>
        <item m="1" x="914"/>
        <item m="1" x="980"/>
        <item m="1" x="753"/>
        <item m="1" x="1020"/>
        <item m="1" x="1159"/>
        <item m="1" x="1153"/>
        <item m="1" x="842"/>
        <item m="1" x="794"/>
        <item m="1" x="731"/>
        <item m="1" x="947"/>
        <item m="1" x="780"/>
        <item m="1" x="735"/>
        <item m="1" x="841"/>
        <item m="1" x="1072"/>
        <item m="1" x="902"/>
        <item m="1" x="1007"/>
        <item m="1" x="654"/>
        <item m="1" x="970"/>
        <item m="1" x="729"/>
        <item m="1" x="920"/>
        <item m="1" x="1127"/>
        <item m="1" x="1026"/>
        <item m="1" x="828"/>
        <item m="1" x="808"/>
        <item m="1" x="931"/>
        <item m="1" x="1044"/>
        <item m="1" x="831"/>
        <item m="1" x="741"/>
        <item m="1" x="1164"/>
        <item m="1" x="1222"/>
        <item m="1" x="765"/>
        <item m="1" x="977"/>
        <item m="1" x="1140"/>
        <item m="1" x="1238"/>
        <item m="1" x="1008"/>
        <item m="1" x="952"/>
        <item m="1" x="1220"/>
        <item m="1" x="1068"/>
        <item m="1" x="975"/>
        <item m="1" x="1105"/>
        <item m="1" x="1142"/>
        <item m="1" x="889"/>
        <item m="1" x="776"/>
        <item m="1" x="1119"/>
        <item m="1" x="1218"/>
        <item m="1" x="652"/>
        <item m="1" x="945"/>
        <item m="1" x="779"/>
        <item m="1" x="722"/>
        <item m="1" x="795"/>
        <item m="1" x="911"/>
        <item m="1" x="1009"/>
        <item m="1" x="1039"/>
        <item m="1" x="868"/>
        <item m="1" x="1063"/>
        <item m="1" x="766"/>
        <item m="1" x="696"/>
        <item m="1" x="1130"/>
        <item m="1" x="630"/>
        <item m="1" x="1081"/>
        <item m="1" x="681"/>
        <item m="1" x="915"/>
        <item m="1" x="1059"/>
        <item m="1" x="1052"/>
        <item m="1" x="1175"/>
        <item m="1" x="825"/>
        <item m="1" x="740"/>
        <item m="1" x="965"/>
        <item m="1" x="1075"/>
        <item m="1" x="699"/>
        <item m="1" x="1012"/>
        <item m="1" x="1077"/>
        <item m="1" x="684"/>
        <item m="1" x="1229"/>
        <item m="1" x="929"/>
        <item m="1" x="899"/>
        <item m="1" x="895"/>
        <item m="1" x="961"/>
        <item m="1" x="1088"/>
        <item m="1" x="1103"/>
        <item m="1" x="1139"/>
        <item m="1" x="1107"/>
        <item m="1" x="1085"/>
        <item m="1" x="1174"/>
        <item m="1" x="754"/>
        <item m="1" x="817"/>
        <item m="1" x="897"/>
        <item m="1" x="1011"/>
        <item m="1" x="1080"/>
        <item m="1" x="963"/>
        <item m="1" x="1224"/>
        <item m="1" x="1192"/>
        <item m="1" x="1228"/>
        <item m="1" x="985"/>
        <item m="1" x="1112"/>
        <item m="1" x="967"/>
        <item m="1" x="639"/>
        <item m="1" x="1041"/>
        <item m="1" x="1045"/>
        <item m="1" x="886"/>
        <item m="1" x="1242"/>
        <item m="1" x="1196"/>
        <item m="1" x="1094"/>
        <item m="1" x="807"/>
        <item m="1" x="898"/>
        <item m="1" x="718"/>
        <item m="1" x="924"/>
        <item m="1" x="670"/>
        <item m="1" x="743"/>
        <item m="1" x="1236"/>
        <item m="1" x="1198"/>
        <item m="1" x="855"/>
        <item m="1" x="1109"/>
        <item m="1" x="805"/>
        <item m="1" x="1102"/>
        <item m="1" x="1036"/>
        <item m="1" x="723"/>
        <item m="1" x="790"/>
        <item m="1" x="1022"/>
        <item m="1" x="934"/>
        <item m="1" x="1132"/>
        <item m="1" x="1160"/>
        <item m="1" x="861"/>
        <item m="1" x="1001"/>
        <item m="1" x="748"/>
        <item m="1" x="1193"/>
        <item m="1" x="903"/>
        <item m="1" x="733"/>
        <item m="1" x="1043"/>
        <item m="1" x="944"/>
        <item m="1" x="857"/>
        <item m="1" x="715"/>
        <item m="1" x="756"/>
        <item m="1" x="908"/>
        <item m="1" x="1165"/>
        <item m="1" x="792"/>
        <item m="1" x="1002"/>
        <item m="1" x="811"/>
        <item m="1" x="1064"/>
        <item m="1" x="1004"/>
        <item m="1" x="1201"/>
        <item m="1" x="816"/>
        <item m="1" x="1189"/>
        <item m="1" x="707"/>
        <item m="1" x="700"/>
        <item m="1" x="719"/>
        <item m="1" x="846"/>
        <item m="1" x="941"/>
        <item m="1" x="736"/>
        <item m="1" x="838"/>
        <item m="1" x="865"/>
        <item m="1" x="717"/>
        <item m="1" x="1188"/>
        <item m="1" x="782"/>
        <item m="1" x="658"/>
        <item m="1" x="674"/>
        <item m="1" x="1091"/>
        <item m="1" x="660"/>
        <item m="1" x="708"/>
        <item m="1" x="716"/>
        <item m="1" x="1148"/>
        <item m="1" x="774"/>
        <item m="1" x="1093"/>
        <item m="1" x="1038"/>
        <item m="1" x="751"/>
        <item m="1" x="894"/>
        <item m="1" x="1194"/>
        <item m="1" x="974"/>
        <item m="1" x="798"/>
        <item m="1" x="1163"/>
        <item m="1" x="659"/>
        <item m="1" x="725"/>
        <item m="1" x="1083"/>
        <item m="1" x="634"/>
        <item m="1" x="662"/>
        <item m="1" x="1219"/>
        <item m="1" x="690"/>
        <item m="1" x="1169"/>
        <item m="1" x="758"/>
        <item m="1" x="1171"/>
        <item m="1" x="638"/>
        <item m="1" x="896"/>
        <item m="1" x="709"/>
        <item m="1" x="1056"/>
        <item m="1" x="695"/>
        <item m="1" x="685"/>
        <item m="1" x="1073"/>
        <item m="1" x="682"/>
        <item m="1" x="1017"/>
        <item m="1" x="667"/>
        <item m="1" x="1111"/>
        <item m="1" x="976"/>
        <item m="1" x="742"/>
        <item m="1" x="921"/>
        <item m="1" x="1000"/>
        <item m="1" x="955"/>
        <item m="1" x="710"/>
        <item m="1" x="1010"/>
        <item m="1" x="1133"/>
        <item m="1" x="845"/>
        <item m="1" x="834"/>
        <item m="1" x="726"/>
        <item m="1" x="676"/>
        <item m="1" x="688"/>
        <item m="1" x="1136"/>
        <item m="1" x="789"/>
        <item m="1" x="1034"/>
        <item m="1" x="739"/>
        <item m="1" x="1053"/>
        <item m="1" x="804"/>
        <item m="1" x="833"/>
        <item m="1" x="992"/>
        <item m="1" x="1207"/>
        <item m="1" x="1097"/>
        <item m="1" x="1182"/>
        <item m="1" x="905"/>
        <item m="1" x="888"/>
        <item m="1" x="837"/>
        <item m="1" x="631"/>
        <item m="1" x="890"/>
        <item m="1" x="994"/>
        <item m="1" x="1074"/>
        <item m="1" x="622"/>
        <item m="1" x="900"/>
        <item m="1" x="783"/>
        <item m="1" x="1110"/>
        <item m="1" x="763"/>
        <item m="1" x="1146"/>
        <item m="1" x="1048"/>
        <item m="1" x="1183"/>
        <item m="1" x="1078"/>
        <item m="1" x="1071"/>
        <item m="1" x="1057"/>
        <item m="1" x="734"/>
        <item m="1" x="677"/>
        <item m="1" x="1028"/>
        <item m="1" x="623"/>
        <item m="1" x="1090"/>
        <item m="1" x="1241"/>
        <item m="1" x="640"/>
        <item m="1" x="1225"/>
        <item m="1" x="679"/>
        <item m="1" x="823"/>
        <item m="1" x="1187"/>
        <item m="1" x="875"/>
        <item m="1" x="854"/>
        <item m="1" x="1087"/>
        <item m="1" x="1204"/>
        <item m="1" x="629"/>
        <item m="1" x="912"/>
        <item m="1" x="746"/>
        <item m="1" x="1217"/>
        <item m="1" x="893"/>
        <item m="1" x="1051"/>
        <item m="1" x="1197"/>
        <item m="1" x="1191"/>
        <item m="1" x="675"/>
        <item m="1" x="1040"/>
        <item m="1" x="960"/>
        <item m="1" x="649"/>
        <item m="1" x="1018"/>
        <item m="1" x="1101"/>
        <item m="1" x="979"/>
        <item m="1" x="791"/>
        <item m="1" x="1060"/>
        <item m="1" x="969"/>
        <item m="1" x="1149"/>
        <item m="1" x="1186"/>
        <item m="1" x="1180"/>
        <item m="1" x="843"/>
        <item m="1" x="651"/>
        <item m="1" x="773"/>
        <item m="1" x="848"/>
        <item m="1" x="1151"/>
        <item m="1" x="694"/>
        <item m="1" x="870"/>
        <item m="1" x="1156"/>
        <item m="1" x="1046"/>
        <item m="1" x="878"/>
        <item m="1" x="1006"/>
        <item m="1" x="757"/>
        <item m="1" x="995"/>
        <item m="1" x="1178"/>
        <item m="1" x="755"/>
        <item m="1" x="1234"/>
        <item m="1" x="1082"/>
        <item m="1" x="996"/>
        <item m="1" x="983"/>
        <item m="1" x="891"/>
        <item m="1" x="727"/>
        <item m="1" x="840"/>
        <item m="1" x="943"/>
        <item m="1" x="1014"/>
        <item m="1" x="858"/>
        <item m="1" x="721"/>
        <item m="1" x="839"/>
        <item m="1" x="821"/>
        <item m="1" x="784"/>
        <item m="1" x="692"/>
        <item m="1" x="863"/>
        <item m="1" x="932"/>
        <item m="1" x="824"/>
        <item m="1" x="799"/>
        <item m="1" x="624"/>
        <item m="1" x="1129"/>
        <item m="1" x="989"/>
        <item m="1" x="1190"/>
        <item m="1" x="826"/>
        <item m="1" x="918"/>
        <item m="1" x="775"/>
        <item m="1" x="968"/>
        <item m="1" x="1181"/>
        <item m="1" x="704"/>
        <item m="1" x="1147"/>
        <item m="1" x="982"/>
        <item m="1" x="1123"/>
        <item m="1" x="819"/>
        <item m="1" x="778"/>
        <item m="1" x="957"/>
        <item m="1" x="666"/>
        <item m="1" x="793"/>
        <item m="1" x="1005"/>
        <item m="1" x="892"/>
        <item m="1" x="645"/>
        <item m="1" x="1173"/>
        <item m="1" x="1121"/>
        <item m="1" x="656"/>
        <item m="1" x="973"/>
        <item m="1" x="814"/>
        <item m="1" x="872"/>
        <item m="1" x="1143"/>
        <item m="1" x="1003"/>
        <item m="1" x="1230"/>
        <item m="1" x="951"/>
        <item m="1" x="859"/>
        <item m="1" x="1024"/>
        <item m="1" x="714"/>
        <item m="1" x="672"/>
        <item m="1" x="1131"/>
        <item m="1" x="768"/>
        <item m="1" x="663"/>
        <item m="1" x="750"/>
        <item m="1" x="864"/>
        <item m="1" x="647"/>
        <item m="1" x="916"/>
        <item m="1" x="1086"/>
        <item m="1" x="1221"/>
        <item m="1" x="1243"/>
        <item m="1" x="1158"/>
        <item m="1" x="1205"/>
        <item m="1" x="683"/>
        <item m="1" x="910"/>
        <item m="1" x="678"/>
        <item m="1" x="686"/>
        <item m="1" x="1154"/>
        <item m="1" x="1138"/>
        <item m="1" x="1124"/>
        <item m="1" x="880"/>
        <item m="1" x="1126"/>
        <item m="1" x="958"/>
        <item m="1" x="827"/>
        <item m="1" x="713"/>
        <item m="1" x="1170"/>
        <item m="1" x="1118"/>
        <item m="1" x="1037"/>
        <item m="1" x="1125"/>
        <item m="1" x="1013"/>
        <item m="1" x="906"/>
        <item m="1" x="1240"/>
        <item m="1" x="873"/>
        <item m="1" x="1061"/>
        <item m="1" x="913"/>
        <item m="1" x="806"/>
        <item m="1" x="1144"/>
        <item m="1" x="1237"/>
        <item m="1" x="933"/>
        <item m="1" x="884"/>
        <item m="1" x="1070"/>
        <item m="1" x="1108"/>
        <item m="1" x="1016"/>
        <item m="1" x="1029"/>
        <item m="1" x="1216"/>
        <item m="1" x="879"/>
        <item m="1" x="764"/>
        <item m="1" x="1210"/>
        <item m="1" x="850"/>
        <item m="1" x="701"/>
        <item m="1" x="1117"/>
        <item m="1" x="1120"/>
        <item m="1" x="948"/>
        <item m="1" x="866"/>
        <item x="282"/>
        <item x="225"/>
        <item x="411"/>
        <item x="106"/>
        <item x="213"/>
        <item x="304"/>
        <item x="33"/>
        <item x="324"/>
        <item x="350"/>
        <item x="22"/>
        <item x="247"/>
        <item x="42"/>
        <item x="478"/>
        <item x="362"/>
        <item x="115"/>
        <item x="89"/>
        <item x="238"/>
        <item x="21"/>
        <item x="605"/>
        <item x="447"/>
        <item x="178"/>
        <item x="28"/>
        <item x="454"/>
        <item x="200"/>
        <item x="81"/>
        <item x="427"/>
        <item x="544"/>
        <item x="584"/>
        <item x="554"/>
        <item x="230"/>
        <item x="328"/>
        <item x="484"/>
        <item x="377"/>
        <item x="76"/>
        <item x="210"/>
        <item x="580"/>
        <item x="342"/>
        <item x="303"/>
        <item x="533"/>
        <item x="46"/>
        <item x="67"/>
        <item x="340"/>
        <item x="71"/>
        <item x="444"/>
        <item x="457"/>
        <item x="300"/>
        <item x="179"/>
        <item x="84"/>
        <item x="513"/>
        <item x="530"/>
        <item x="102"/>
        <item x="519"/>
        <item x="260"/>
        <item x="5"/>
        <item x="214"/>
        <item x="609"/>
        <item x="591"/>
        <item x="331"/>
        <item x="613"/>
        <item x="31"/>
        <item x="397"/>
        <item x="500"/>
        <item x="285"/>
        <item x="149"/>
        <item x="193"/>
        <item x="436"/>
        <item x="3"/>
        <item x="473"/>
        <item x="408"/>
        <item x="24"/>
        <item x="198"/>
        <item x="190"/>
        <item x="11"/>
        <item x="593"/>
        <item x="314"/>
        <item x="240"/>
        <item x="108"/>
        <item x="409"/>
        <item x="562"/>
        <item x="550"/>
        <item x="578"/>
        <item x="493"/>
        <item x="20"/>
        <item x="231"/>
        <item x="410"/>
        <item x="148"/>
        <item x="196"/>
        <item x="587"/>
        <item x="318"/>
        <item x="174"/>
        <item x="65"/>
        <item x="365"/>
        <item x="295"/>
        <item x="227"/>
        <item x="13"/>
        <item x="255"/>
        <item x="467"/>
        <item x="539"/>
        <item x="610"/>
        <item x="393"/>
        <item x="405"/>
        <item x="4"/>
        <item x="265"/>
        <item x="191"/>
        <item x="14"/>
        <item x="474"/>
        <item x="440"/>
        <item x="175"/>
        <item x="10"/>
        <item x="334"/>
        <item x="139"/>
        <item x="98"/>
        <item x="222"/>
        <item x="492"/>
        <item x="349"/>
        <item x="359"/>
        <item x="51"/>
        <item x="545"/>
        <item x="122"/>
        <item x="297"/>
        <item x="589"/>
        <item x="555"/>
        <item x="188"/>
        <item x="249"/>
        <item x="420"/>
        <item x="313"/>
        <item x="399"/>
        <item x="26"/>
        <item x="130"/>
        <item x="234"/>
        <item x="245"/>
        <item x="35"/>
        <item x="138"/>
        <item x="75"/>
        <item x="371"/>
        <item x="150"/>
        <item x="443"/>
        <item x="375"/>
        <item x="49"/>
        <item x="477"/>
        <item x="523"/>
        <item x="301"/>
        <item x="80"/>
        <item x="252"/>
        <item x="428"/>
        <item x="506"/>
        <item x="327"/>
        <item x="254"/>
        <item x="208"/>
        <item x="306"/>
        <item x="512"/>
        <item x="581"/>
        <item x="308"/>
        <item x="470"/>
        <item x="425"/>
        <item x="39"/>
        <item x="577"/>
        <item x="546"/>
        <item x="155"/>
        <item x="445"/>
        <item x="145"/>
        <item x="462"/>
        <item x="557"/>
        <item x="494"/>
        <item x="315"/>
        <item x="187"/>
        <item x="369"/>
        <item x="590"/>
        <item x="540"/>
        <item x="413"/>
        <item x="611"/>
        <item x="337"/>
        <item x="515"/>
        <item x="491"/>
        <item x="110"/>
        <item x="528"/>
        <item x="58"/>
        <item x="125"/>
        <item x="482"/>
        <item x="366"/>
        <item x="43"/>
        <item x="6"/>
        <item x="140"/>
        <item x="476"/>
        <item x="259"/>
        <item x="163"/>
        <item x="344"/>
        <item x="69"/>
        <item x="368"/>
        <item x="164"/>
        <item x="356"/>
        <item x="403"/>
        <item x="432"/>
        <item x="433"/>
        <item x="617"/>
        <item x="137"/>
        <item x="127"/>
        <item x="376"/>
        <item x="90"/>
        <item x="287"/>
        <item x="604"/>
        <item x="535"/>
        <item x="592"/>
        <item x="116"/>
        <item x="320"/>
        <item x="15"/>
        <item x="166"/>
        <item x="601"/>
        <item x="279"/>
        <item x="123"/>
        <item x="263"/>
        <item x="401"/>
        <item x="563"/>
        <item x="19"/>
        <item x="229"/>
        <item x="261"/>
        <item x="180"/>
        <item x="586"/>
        <item x="181"/>
        <item x="317"/>
        <item x="364"/>
        <item x="47"/>
        <item x="332"/>
        <item x="573"/>
        <item x="305"/>
        <item x="159"/>
        <item x="147"/>
        <item x="83"/>
        <item x="207"/>
        <item x="165"/>
        <item x="316"/>
        <item x="292"/>
        <item x="358"/>
        <item x="131"/>
        <item x="398"/>
        <item x="537"/>
        <item x="531"/>
        <item x="220"/>
        <item x="172"/>
        <item x="109"/>
        <item x="325"/>
        <item x="158"/>
        <item x="113"/>
        <item x="219"/>
        <item x="450"/>
        <item x="280"/>
        <item x="385"/>
        <item x="32"/>
        <item x="348"/>
        <item x="107"/>
        <item x="298"/>
        <item x="505"/>
        <item x="404"/>
        <item x="206"/>
        <item x="186"/>
        <item x="309"/>
        <item x="422"/>
        <item x="209"/>
        <item x="119"/>
        <item x="542"/>
        <item x="600"/>
        <item x="143"/>
        <item x="355"/>
        <item x="518"/>
        <item x="616"/>
        <item x="386"/>
        <item x="330"/>
        <item x="598"/>
        <item x="446"/>
        <item x="353"/>
        <item x="483"/>
        <item x="520"/>
        <item x="267"/>
        <item x="154"/>
        <item x="497"/>
        <item x="596"/>
        <item x="30"/>
        <item x="323"/>
        <item x="157"/>
        <item x="100"/>
        <item x="173"/>
        <item x="289"/>
        <item x="387"/>
        <item x="417"/>
        <item x="246"/>
        <item x="441"/>
        <item x="144"/>
        <item x="74"/>
        <item x="508"/>
        <item x="8"/>
        <item x="459"/>
        <item x="59"/>
        <item x="293"/>
        <item x="437"/>
        <item x="430"/>
        <item x="553"/>
        <item x="203"/>
        <item x="118"/>
        <item x="343"/>
        <item x="453"/>
        <item x="77"/>
        <item x="390"/>
        <item x="455"/>
        <item x="62"/>
        <item x="607"/>
        <item x="307"/>
        <item x="277"/>
        <item x="273"/>
        <item x="339"/>
        <item x="466"/>
        <item x="481"/>
        <item x="517"/>
        <item x="485"/>
        <item x="463"/>
        <item x="552"/>
        <item x="132"/>
        <item x="195"/>
        <item x="275"/>
        <item x="389"/>
        <item x="458"/>
        <item x="341"/>
        <item x="602"/>
        <item x="570"/>
        <item x="606"/>
        <item x="363"/>
        <item x="490"/>
        <item x="345"/>
        <item x="17"/>
        <item x="419"/>
        <item x="423"/>
        <item x="264"/>
        <item x="620"/>
        <item x="574"/>
        <item x="472"/>
        <item x="185"/>
        <item x="276"/>
        <item x="96"/>
        <item x="302"/>
        <item x="48"/>
        <item x="121"/>
        <item x="614"/>
        <item x="576"/>
        <item x="233"/>
        <item x="487"/>
        <item x="183"/>
        <item x="480"/>
        <item x="414"/>
        <item x="101"/>
        <item x="168"/>
        <item x="400"/>
        <item x="312"/>
        <item x="510"/>
        <item x="538"/>
        <item x="239"/>
        <item x="379"/>
        <item x="126"/>
        <item x="571"/>
        <item x="281"/>
        <item x="111"/>
        <item x="421"/>
        <item x="322"/>
        <item x="235"/>
        <item x="93"/>
        <item x="134"/>
        <item x="286"/>
        <item x="543"/>
        <item x="170"/>
        <item x="380"/>
        <item x="189"/>
        <item x="442"/>
        <item x="382"/>
        <item x="579"/>
        <item x="194"/>
        <item x="567"/>
        <item x="85"/>
        <item x="78"/>
        <item x="97"/>
        <item x="224"/>
        <item x="319"/>
        <item x="114"/>
        <item x="216"/>
        <item x="243"/>
        <item x="95"/>
        <item x="566"/>
        <item x="160"/>
        <item x="36"/>
        <item x="52"/>
        <item x="469"/>
        <item x="38"/>
        <item x="86"/>
        <item x="94"/>
        <item x="526"/>
        <item x="152"/>
        <item x="471"/>
        <item x="416"/>
        <item x="129"/>
        <item x="272"/>
        <item x="572"/>
        <item x="352"/>
        <item x="176"/>
        <item x="541"/>
        <item x="37"/>
        <item x="103"/>
        <item x="461"/>
        <item x="12"/>
        <item x="40"/>
        <item x="597"/>
        <item x="68"/>
        <item x="547"/>
        <item x="136"/>
        <item x="549"/>
        <item x="16"/>
        <item x="274"/>
        <item x="87"/>
        <item x="434"/>
        <item x="73"/>
        <item x="63"/>
        <item x="451"/>
        <item x="60"/>
        <item x="395"/>
        <item x="45"/>
        <item x="489"/>
        <item x="354"/>
        <item x="120"/>
        <item x="299"/>
        <item x="378"/>
        <item x="333"/>
        <item x="88"/>
        <item x="388"/>
        <item x="511"/>
        <item x="223"/>
        <item x="212"/>
        <item x="104"/>
        <item x="54"/>
        <item x="66"/>
        <item x="514"/>
        <item x="167"/>
        <item x="412"/>
        <item x="117"/>
        <item x="431"/>
        <item x="182"/>
        <item x="211"/>
        <item x="370"/>
        <item x="585"/>
        <item x="475"/>
        <item x="560"/>
        <item x="283"/>
        <item x="266"/>
        <item x="215"/>
        <item x="9"/>
        <item x="268"/>
        <item x="372"/>
        <item x="452"/>
        <item x="0"/>
        <item x="278"/>
        <item x="161"/>
        <item x="488"/>
        <item x="141"/>
        <item x="524"/>
        <item x="426"/>
        <item x="561"/>
        <item x="456"/>
        <item x="449"/>
        <item x="435"/>
        <item x="112"/>
        <item x="55"/>
        <item x="406"/>
        <item x="1"/>
        <item x="468"/>
        <item x="619"/>
        <item x="18"/>
        <item x="603"/>
        <item x="57"/>
        <item x="201"/>
        <item x="565"/>
        <item x="253"/>
        <item x="232"/>
        <item x="465"/>
        <item x="582"/>
        <item x="7"/>
        <item x="290"/>
        <item x="124"/>
        <item x="595"/>
        <item x="271"/>
        <item x="429"/>
        <item x="575"/>
        <item x="569"/>
        <item x="53"/>
        <item x="418"/>
        <item x="338"/>
        <item x="27"/>
        <item x="396"/>
        <item x="479"/>
        <item x="357"/>
        <item x="169"/>
        <item x="438"/>
        <item x="347"/>
        <item x="527"/>
        <item x="564"/>
        <item x="558"/>
        <item x="221"/>
        <item x="29"/>
        <item x="151"/>
        <item x="226"/>
        <item x="529"/>
        <item x="72"/>
        <item x="248"/>
        <item x="534"/>
        <item x="424"/>
        <item x="256"/>
        <item x="384"/>
        <item x="135"/>
        <item x="373"/>
        <item x="556"/>
        <item x="133"/>
        <item x="612"/>
        <item x="460"/>
        <item x="374"/>
        <item x="361"/>
        <item x="269"/>
        <item x="105"/>
        <item x="218"/>
        <item x="321"/>
        <item x="392"/>
        <item x="236"/>
        <item x="99"/>
        <item x="217"/>
        <item x="199"/>
        <item x="162"/>
        <item x="70"/>
        <item x="241"/>
        <item x="310"/>
        <item x="202"/>
        <item x="177"/>
        <item x="2"/>
        <item x="507"/>
        <item x="367"/>
        <item x="568"/>
        <item x="204"/>
        <item x="296"/>
        <item x="153"/>
        <item x="346"/>
        <item x="559"/>
        <item x="82"/>
        <item x="525"/>
        <item x="360"/>
        <item x="501"/>
        <item x="197"/>
        <item x="156"/>
        <item x="335"/>
        <item x="44"/>
        <item x="171"/>
        <item x="383"/>
        <item x="270"/>
        <item x="23"/>
        <item x="551"/>
        <item x="499"/>
        <item x="34"/>
        <item x="351"/>
        <item x="192"/>
        <item x="250"/>
        <item x="521"/>
        <item x="381"/>
        <item x="608"/>
        <item x="329"/>
        <item x="237"/>
        <item x="402"/>
        <item x="92"/>
        <item x="50"/>
        <item x="509"/>
        <item x="146"/>
        <item x="41"/>
        <item x="128"/>
        <item x="242"/>
        <item x="25"/>
        <item x="294"/>
        <item x="464"/>
        <item x="599"/>
        <item x="621"/>
        <item x="536"/>
        <item x="583"/>
        <item x="61"/>
        <item x="288"/>
        <item x="56"/>
        <item x="64"/>
        <item x="532"/>
        <item x="516"/>
        <item x="502"/>
        <item x="258"/>
        <item x="504"/>
        <item x="336"/>
        <item x="205"/>
        <item x="91"/>
        <item x="548"/>
        <item x="496"/>
        <item x="415"/>
        <item x="503"/>
        <item x="391"/>
        <item x="284"/>
        <item x="618"/>
        <item x="251"/>
        <item x="439"/>
        <item x="291"/>
        <item x="184"/>
        <item x="522"/>
        <item x="615"/>
        <item x="311"/>
        <item x="262"/>
        <item x="448"/>
        <item x="486"/>
        <item x="394"/>
        <item x="407"/>
        <item x="594"/>
        <item x="257"/>
        <item x="142"/>
        <item x="588"/>
        <item x="228"/>
        <item x="79"/>
        <item x="495"/>
        <item x="498"/>
        <item x="326"/>
        <item x="24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2"/>
  </colFields>
  <colItems count="2">
    <i>
      <x/>
    </i>
    <i i="1">
      <x v="1"/>
    </i>
  </colItems>
  <dataFields count="2">
    <dataField name="Count" fld="0" subtotal="count" baseField="12" baseItem="0"/>
    <dataField name="Amount" fld="4"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CE8D03-E89A-4C2B-AC89-FEAF706FC7A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37:J50" firstHeaderRow="1" firstDataRow="1" firstDataCol="1"/>
  <pivotFields count="17">
    <pivotField showAll="0"/>
    <pivotField showAll="0">
      <items count="11">
        <item x="2"/>
        <item x="3"/>
        <item x="5"/>
        <item x="1"/>
        <item x="8"/>
        <item x="6"/>
        <item x="4"/>
        <item x="9"/>
        <item x="0"/>
        <item x="7"/>
        <item t="default"/>
      </items>
    </pivotField>
    <pivotField showAll="0"/>
    <pivotField showAll="0">
      <items count="8">
        <item x="1"/>
        <item x="5"/>
        <item x="2"/>
        <item x="3"/>
        <item x="6"/>
        <item x="0"/>
        <item x="4"/>
        <item t="default"/>
      </items>
    </pivotField>
    <pivotField dataField="1" showAll="0"/>
    <pivotField showAll="0"/>
    <pivotField showAll="0"/>
    <pivotField showAll="0"/>
    <pivotField showAll="0"/>
    <pivotField showAll="0">
      <items count="5">
        <item x="3"/>
        <item x="0"/>
        <item x="1"/>
        <item x="2"/>
        <item t="default"/>
      </items>
    </pivotField>
    <pivotField showAll="0"/>
    <pivotField showAll="0"/>
    <pivotField showAll="0">
      <items count="5">
        <item x="2"/>
        <item x="1"/>
        <item x="3"/>
        <item x="0"/>
        <item t="default"/>
      </items>
    </pivotField>
    <pivotField numFmtId="14" showAll="0">
      <items count="1245">
        <item m="1" x="904"/>
        <item m="1" x="847"/>
        <item m="1" x="1033"/>
        <item m="1" x="728"/>
        <item m="1" x="835"/>
        <item m="1" x="926"/>
        <item m="1" x="655"/>
        <item m="1" x="946"/>
        <item m="1" x="972"/>
        <item m="1" x="644"/>
        <item m="1" x="869"/>
        <item m="1" x="664"/>
        <item m="1" x="1100"/>
        <item m="1" x="984"/>
        <item m="1" x="737"/>
        <item m="1" x="711"/>
        <item m="1" x="860"/>
        <item m="1" x="643"/>
        <item m="1" x="1227"/>
        <item m="1" x="1069"/>
        <item m="1" x="800"/>
        <item m="1" x="650"/>
        <item m="1" x="1076"/>
        <item m="1" x="822"/>
        <item m="1" x="703"/>
        <item m="1" x="1049"/>
        <item m="1" x="1166"/>
        <item m="1" x="1206"/>
        <item m="1" x="1176"/>
        <item m="1" x="852"/>
        <item m="1" x="950"/>
        <item m="1" x="1106"/>
        <item m="1" x="999"/>
        <item m="1" x="698"/>
        <item m="1" x="832"/>
        <item m="1" x="1202"/>
        <item m="1" x="964"/>
        <item m="1" x="925"/>
        <item m="1" x="1155"/>
        <item m="1" x="668"/>
        <item m="1" x="689"/>
        <item m="1" x="962"/>
        <item m="1" x="693"/>
        <item m="1" x="1066"/>
        <item m="1" x="1079"/>
        <item m="1" x="922"/>
        <item m="1" x="801"/>
        <item m="1" x="706"/>
        <item m="1" x="1135"/>
        <item m="1" x="1152"/>
        <item m="1" x="724"/>
        <item m="1" x="1141"/>
        <item m="1" x="882"/>
        <item m="1" x="627"/>
        <item m="1" x="836"/>
        <item m="1" x="1231"/>
        <item m="1" x="1213"/>
        <item m="1" x="953"/>
        <item m="1" x="1235"/>
        <item m="1" x="653"/>
        <item m="1" x="1019"/>
        <item m="1" x="1122"/>
        <item m="1" x="907"/>
        <item m="1" x="771"/>
        <item m="1" x="815"/>
        <item m="1" x="1058"/>
        <item m="1" x="625"/>
        <item m="1" x="1095"/>
        <item m="1" x="1030"/>
        <item m="1" x="646"/>
        <item m="1" x="820"/>
        <item m="1" x="812"/>
        <item m="1" x="633"/>
        <item m="1" x="1215"/>
        <item m="1" x="936"/>
        <item m="1" x="862"/>
        <item m="1" x="730"/>
        <item m="1" x="1031"/>
        <item m="1" x="1184"/>
        <item m="1" x="1172"/>
        <item m="1" x="1200"/>
        <item m="1" x="1115"/>
        <item m="1" x="642"/>
        <item m="1" x="853"/>
        <item m="1" x="1032"/>
        <item m="1" x="770"/>
        <item m="1" x="818"/>
        <item m="1" x="1209"/>
        <item m="1" x="940"/>
        <item m="1" x="796"/>
        <item m="1" x="687"/>
        <item m="1" x="987"/>
        <item m="1" x="917"/>
        <item m="1" x="849"/>
        <item m="1" x="635"/>
        <item m="1" x="877"/>
        <item m="1" x="1089"/>
        <item m="1" x="1161"/>
        <item m="1" x="1232"/>
        <item m="1" x="1015"/>
        <item m="1" x="1027"/>
        <item m="1" x="626"/>
        <item m="1" x="887"/>
        <item m="1" x="813"/>
        <item m="1" x="636"/>
        <item m="1" x="1096"/>
        <item m="1" x="1062"/>
        <item m="1" x="797"/>
        <item m="1" x="632"/>
        <item m="1" x="956"/>
        <item m="1" x="761"/>
        <item m="1" x="720"/>
        <item m="1" x="844"/>
        <item m="1" x="1114"/>
        <item m="1" x="971"/>
        <item m="1" x="981"/>
        <item m="1" x="673"/>
        <item m="1" x="1167"/>
        <item m="1" x="744"/>
        <item m="1" x="919"/>
        <item m="1" x="1211"/>
        <item m="1" x="1177"/>
        <item m="1" x="810"/>
        <item m="1" x="871"/>
        <item m="1" x="1042"/>
        <item m="1" x="935"/>
        <item m="1" x="1021"/>
        <item m="1" x="648"/>
        <item m="1" x="752"/>
        <item m="1" x="856"/>
        <item m="1" x="867"/>
        <item m="1" x="657"/>
        <item m="1" x="760"/>
        <item m="1" x="697"/>
        <item m="1" x="993"/>
        <item m="1" x="772"/>
        <item m="1" x="1065"/>
        <item m="1" x="997"/>
        <item m="1" x="671"/>
        <item m="1" x="1099"/>
        <item m="1" x="1145"/>
        <item m="1" x="923"/>
        <item m="1" x="702"/>
        <item m="1" x="874"/>
        <item m="1" x="1050"/>
        <item m="1" x="1128"/>
        <item m="1" x="949"/>
        <item m="1" x="876"/>
        <item m="1" x="830"/>
        <item m="1" x="928"/>
        <item m="1" x="1134"/>
        <item m="1" x="1203"/>
        <item m="1" x="930"/>
        <item m="1" x="1092"/>
        <item m="1" x="1047"/>
        <item m="1" x="661"/>
        <item m="1" x="1199"/>
        <item m="1" x="1168"/>
        <item m="1" x="777"/>
        <item m="1" x="1067"/>
        <item m="1" x="767"/>
        <item m="1" x="1084"/>
        <item m="1" x="1179"/>
        <item m="1" x="1116"/>
        <item m="1" x="937"/>
        <item m="1" x="809"/>
        <item m="1" x="991"/>
        <item m="1" x="1212"/>
        <item m="1" x="1162"/>
        <item m="1" x="1035"/>
        <item m="1" x="1233"/>
        <item m="1" x="959"/>
        <item m="1" x="1137"/>
        <item m="1" x="1113"/>
        <item m="1" x="732"/>
        <item m="1" x="1150"/>
        <item m="1" x="680"/>
        <item m="1" x="747"/>
        <item m="1" x="1104"/>
        <item m="1" x="988"/>
        <item m="1" x="665"/>
        <item m="1" x="628"/>
        <item m="1" x="762"/>
        <item m="1" x="1098"/>
        <item m="1" x="881"/>
        <item m="1" x="785"/>
        <item m="1" x="966"/>
        <item m="1" x="691"/>
        <item m="1" x="990"/>
        <item m="1" x="786"/>
        <item m="1" x="978"/>
        <item m="1" x="1025"/>
        <item m="1" x="1054"/>
        <item m="1" x="1055"/>
        <item m="1" x="1239"/>
        <item m="1" x="759"/>
        <item m="1" x="749"/>
        <item m="1" x="998"/>
        <item m="1" x="712"/>
        <item m="1" x="909"/>
        <item m="1" x="1226"/>
        <item m="1" x="1157"/>
        <item m="1" x="1214"/>
        <item m="1" x="738"/>
        <item m="1" x="942"/>
        <item m="1" x="637"/>
        <item m="1" x="788"/>
        <item m="1" x="1223"/>
        <item m="1" x="901"/>
        <item m="1" x="745"/>
        <item m="1" x="885"/>
        <item m="1" x="1023"/>
        <item m="1" x="1185"/>
        <item m="1" x="641"/>
        <item m="1" x="851"/>
        <item m="1" x="883"/>
        <item m="1" x="802"/>
        <item m="1" x="1208"/>
        <item m="1" x="803"/>
        <item m="1" x="939"/>
        <item m="1" x="986"/>
        <item m="1" x="669"/>
        <item m="1" x="954"/>
        <item m="1" x="1195"/>
        <item m="1" x="927"/>
        <item m="1" x="781"/>
        <item m="1" x="769"/>
        <item m="1" x="705"/>
        <item m="1" x="829"/>
        <item m="1" x="787"/>
        <item m="1" x="938"/>
        <item m="1" x="914"/>
        <item m="1" x="980"/>
        <item m="1" x="753"/>
        <item m="1" x="1020"/>
        <item m="1" x="1159"/>
        <item m="1" x="1153"/>
        <item m="1" x="842"/>
        <item m="1" x="794"/>
        <item m="1" x="731"/>
        <item m="1" x="947"/>
        <item m="1" x="780"/>
        <item m="1" x="735"/>
        <item m="1" x="841"/>
        <item m="1" x="1072"/>
        <item m="1" x="902"/>
        <item m="1" x="1007"/>
        <item m="1" x="654"/>
        <item m="1" x="970"/>
        <item m="1" x="729"/>
        <item m="1" x="920"/>
        <item m="1" x="1127"/>
        <item m="1" x="1026"/>
        <item m="1" x="828"/>
        <item m="1" x="808"/>
        <item m="1" x="931"/>
        <item m="1" x="1044"/>
        <item m="1" x="831"/>
        <item m="1" x="741"/>
        <item m="1" x="1164"/>
        <item m="1" x="1222"/>
        <item m="1" x="765"/>
        <item m="1" x="977"/>
        <item m="1" x="1140"/>
        <item m="1" x="1238"/>
        <item m="1" x="1008"/>
        <item m="1" x="952"/>
        <item m="1" x="1220"/>
        <item m="1" x="1068"/>
        <item m="1" x="975"/>
        <item m="1" x="1105"/>
        <item m="1" x="1142"/>
        <item m="1" x="889"/>
        <item m="1" x="776"/>
        <item m="1" x="1119"/>
        <item m="1" x="1218"/>
        <item m="1" x="652"/>
        <item m="1" x="945"/>
        <item m="1" x="779"/>
        <item m="1" x="722"/>
        <item m="1" x="795"/>
        <item m="1" x="911"/>
        <item m="1" x="1009"/>
        <item m="1" x="1039"/>
        <item m="1" x="868"/>
        <item m="1" x="1063"/>
        <item m="1" x="766"/>
        <item m="1" x="696"/>
        <item m="1" x="1130"/>
        <item m="1" x="630"/>
        <item m="1" x="1081"/>
        <item m="1" x="681"/>
        <item m="1" x="915"/>
        <item m="1" x="1059"/>
        <item m="1" x="1052"/>
        <item m="1" x="1175"/>
        <item m="1" x="825"/>
        <item m="1" x="740"/>
        <item m="1" x="965"/>
        <item m="1" x="1075"/>
        <item m="1" x="699"/>
        <item m="1" x="1012"/>
        <item m="1" x="1077"/>
        <item m="1" x="684"/>
        <item m="1" x="1229"/>
        <item m="1" x="929"/>
        <item m="1" x="899"/>
        <item m="1" x="895"/>
        <item m="1" x="961"/>
        <item m="1" x="1088"/>
        <item m="1" x="1103"/>
        <item m="1" x="1139"/>
        <item m="1" x="1107"/>
        <item m="1" x="1085"/>
        <item m="1" x="1174"/>
        <item m="1" x="754"/>
        <item m="1" x="817"/>
        <item m="1" x="897"/>
        <item m="1" x="1011"/>
        <item m="1" x="1080"/>
        <item m="1" x="963"/>
        <item m="1" x="1224"/>
        <item m="1" x="1192"/>
        <item m="1" x="1228"/>
        <item m="1" x="985"/>
        <item m="1" x="1112"/>
        <item m="1" x="967"/>
        <item m="1" x="639"/>
        <item m="1" x="1041"/>
        <item m="1" x="1045"/>
        <item m="1" x="886"/>
        <item m="1" x="1242"/>
        <item m="1" x="1196"/>
        <item m="1" x="1094"/>
        <item m="1" x="807"/>
        <item m="1" x="898"/>
        <item m="1" x="718"/>
        <item m="1" x="924"/>
        <item m="1" x="670"/>
        <item m="1" x="743"/>
        <item m="1" x="1236"/>
        <item m="1" x="1198"/>
        <item m="1" x="855"/>
        <item m="1" x="1109"/>
        <item m="1" x="805"/>
        <item m="1" x="1102"/>
        <item m="1" x="1036"/>
        <item m="1" x="723"/>
        <item m="1" x="790"/>
        <item m="1" x="1022"/>
        <item m="1" x="934"/>
        <item m="1" x="1132"/>
        <item m="1" x="1160"/>
        <item m="1" x="861"/>
        <item m="1" x="1001"/>
        <item m="1" x="748"/>
        <item m="1" x="1193"/>
        <item m="1" x="903"/>
        <item m="1" x="733"/>
        <item m="1" x="1043"/>
        <item m="1" x="944"/>
        <item m="1" x="857"/>
        <item m="1" x="715"/>
        <item m="1" x="756"/>
        <item m="1" x="908"/>
        <item m="1" x="1165"/>
        <item m="1" x="792"/>
        <item m="1" x="1002"/>
        <item m="1" x="811"/>
        <item m="1" x="1064"/>
        <item m="1" x="1004"/>
        <item m="1" x="1201"/>
        <item m="1" x="816"/>
        <item m="1" x="1189"/>
        <item m="1" x="707"/>
        <item m="1" x="700"/>
        <item m="1" x="719"/>
        <item m="1" x="846"/>
        <item m="1" x="941"/>
        <item m="1" x="736"/>
        <item m="1" x="838"/>
        <item m="1" x="865"/>
        <item m="1" x="717"/>
        <item m="1" x="1188"/>
        <item m="1" x="782"/>
        <item m="1" x="658"/>
        <item m="1" x="674"/>
        <item m="1" x="1091"/>
        <item m="1" x="660"/>
        <item m="1" x="708"/>
        <item m="1" x="716"/>
        <item m="1" x="1148"/>
        <item m="1" x="774"/>
        <item m="1" x="1093"/>
        <item m="1" x="1038"/>
        <item m="1" x="751"/>
        <item m="1" x="894"/>
        <item m="1" x="1194"/>
        <item m="1" x="974"/>
        <item m="1" x="798"/>
        <item m="1" x="1163"/>
        <item m="1" x="659"/>
        <item m="1" x="725"/>
        <item m="1" x="1083"/>
        <item m="1" x="634"/>
        <item m="1" x="662"/>
        <item m="1" x="1219"/>
        <item m="1" x="690"/>
        <item m="1" x="1169"/>
        <item m="1" x="758"/>
        <item m="1" x="1171"/>
        <item m="1" x="638"/>
        <item m="1" x="896"/>
        <item m="1" x="709"/>
        <item m="1" x="1056"/>
        <item m="1" x="695"/>
        <item m="1" x="685"/>
        <item m="1" x="1073"/>
        <item m="1" x="682"/>
        <item m="1" x="1017"/>
        <item m="1" x="667"/>
        <item m="1" x="1111"/>
        <item m="1" x="976"/>
        <item m="1" x="742"/>
        <item m="1" x="921"/>
        <item m="1" x="1000"/>
        <item m="1" x="955"/>
        <item m="1" x="710"/>
        <item m="1" x="1010"/>
        <item m="1" x="1133"/>
        <item m="1" x="845"/>
        <item m="1" x="834"/>
        <item m="1" x="726"/>
        <item m="1" x="676"/>
        <item m="1" x="688"/>
        <item m="1" x="1136"/>
        <item m="1" x="789"/>
        <item m="1" x="1034"/>
        <item m="1" x="739"/>
        <item m="1" x="1053"/>
        <item m="1" x="804"/>
        <item m="1" x="833"/>
        <item m="1" x="992"/>
        <item m="1" x="1207"/>
        <item m="1" x="1097"/>
        <item m="1" x="1182"/>
        <item m="1" x="905"/>
        <item m="1" x="888"/>
        <item m="1" x="837"/>
        <item m="1" x="631"/>
        <item m="1" x="890"/>
        <item m="1" x="994"/>
        <item m="1" x="1074"/>
        <item m="1" x="622"/>
        <item m="1" x="900"/>
        <item m="1" x="783"/>
        <item m="1" x="1110"/>
        <item m="1" x="763"/>
        <item m="1" x="1146"/>
        <item m="1" x="1048"/>
        <item m="1" x="1183"/>
        <item m="1" x="1078"/>
        <item m="1" x="1071"/>
        <item m="1" x="1057"/>
        <item m="1" x="734"/>
        <item m="1" x="677"/>
        <item m="1" x="1028"/>
        <item m="1" x="623"/>
        <item m="1" x="1090"/>
        <item m="1" x="1241"/>
        <item m="1" x="640"/>
        <item m="1" x="1225"/>
        <item m="1" x="679"/>
        <item m="1" x="823"/>
        <item m="1" x="1187"/>
        <item m="1" x="875"/>
        <item m="1" x="854"/>
        <item m="1" x="1087"/>
        <item m="1" x="1204"/>
        <item m="1" x="629"/>
        <item m="1" x="912"/>
        <item m="1" x="746"/>
        <item m="1" x="1217"/>
        <item m="1" x="893"/>
        <item m="1" x="1051"/>
        <item m="1" x="1197"/>
        <item m="1" x="1191"/>
        <item m="1" x="675"/>
        <item m="1" x="1040"/>
        <item m="1" x="960"/>
        <item m="1" x="649"/>
        <item m="1" x="1018"/>
        <item m="1" x="1101"/>
        <item m="1" x="979"/>
        <item m="1" x="791"/>
        <item m="1" x="1060"/>
        <item m="1" x="969"/>
        <item m="1" x="1149"/>
        <item m="1" x="1186"/>
        <item m="1" x="1180"/>
        <item m="1" x="843"/>
        <item m="1" x="651"/>
        <item m="1" x="773"/>
        <item m="1" x="848"/>
        <item m="1" x="1151"/>
        <item m="1" x="694"/>
        <item m="1" x="870"/>
        <item m="1" x="1156"/>
        <item m="1" x="1046"/>
        <item m="1" x="878"/>
        <item m="1" x="1006"/>
        <item m="1" x="757"/>
        <item m="1" x="995"/>
        <item m="1" x="1178"/>
        <item m="1" x="755"/>
        <item m="1" x="1234"/>
        <item m="1" x="1082"/>
        <item m="1" x="996"/>
        <item m="1" x="983"/>
        <item m="1" x="891"/>
        <item m="1" x="727"/>
        <item m="1" x="840"/>
        <item m="1" x="943"/>
        <item m="1" x="1014"/>
        <item m="1" x="858"/>
        <item m="1" x="721"/>
        <item m="1" x="839"/>
        <item m="1" x="821"/>
        <item m="1" x="784"/>
        <item m="1" x="692"/>
        <item m="1" x="863"/>
        <item m="1" x="932"/>
        <item m="1" x="824"/>
        <item m="1" x="799"/>
        <item m="1" x="624"/>
        <item m="1" x="1129"/>
        <item m="1" x="989"/>
        <item m="1" x="1190"/>
        <item m="1" x="826"/>
        <item m="1" x="918"/>
        <item m="1" x="775"/>
        <item m="1" x="968"/>
        <item m="1" x="1181"/>
        <item m="1" x="704"/>
        <item m="1" x="1147"/>
        <item m="1" x="982"/>
        <item m="1" x="1123"/>
        <item m="1" x="819"/>
        <item m="1" x="778"/>
        <item m="1" x="957"/>
        <item m="1" x="666"/>
        <item m="1" x="793"/>
        <item m="1" x="1005"/>
        <item m="1" x="892"/>
        <item m="1" x="645"/>
        <item m="1" x="1173"/>
        <item m="1" x="1121"/>
        <item m="1" x="656"/>
        <item m="1" x="973"/>
        <item m="1" x="814"/>
        <item m="1" x="872"/>
        <item m="1" x="1143"/>
        <item m="1" x="1003"/>
        <item m="1" x="1230"/>
        <item m="1" x="951"/>
        <item m="1" x="859"/>
        <item m="1" x="1024"/>
        <item m="1" x="714"/>
        <item m="1" x="672"/>
        <item m="1" x="1131"/>
        <item m="1" x="768"/>
        <item m="1" x="663"/>
        <item m="1" x="750"/>
        <item m="1" x="864"/>
        <item m="1" x="647"/>
        <item m="1" x="916"/>
        <item m="1" x="1086"/>
        <item m="1" x="1221"/>
        <item m="1" x="1243"/>
        <item m="1" x="1158"/>
        <item m="1" x="1205"/>
        <item m="1" x="683"/>
        <item m="1" x="910"/>
        <item m="1" x="678"/>
        <item m="1" x="686"/>
        <item m="1" x="1154"/>
        <item m="1" x="1138"/>
        <item m="1" x="1124"/>
        <item m="1" x="880"/>
        <item m="1" x="1126"/>
        <item m="1" x="958"/>
        <item m="1" x="827"/>
        <item m="1" x="713"/>
        <item m="1" x="1170"/>
        <item m="1" x="1118"/>
        <item m="1" x="1037"/>
        <item m="1" x="1125"/>
        <item m="1" x="1013"/>
        <item m="1" x="906"/>
        <item m="1" x="1240"/>
        <item m="1" x="873"/>
        <item m="1" x="1061"/>
        <item m="1" x="913"/>
        <item m="1" x="806"/>
        <item m="1" x="1144"/>
        <item m="1" x="1237"/>
        <item m="1" x="933"/>
        <item m="1" x="884"/>
        <item m="1" x="1070"/>
        <item m="1" x="1108"/>
        <item m="1" x="1016"/>
        <item m="1" x="1029"/>
        <item m="1" x="1216"/>
        <item m="1" x="879"/>
        <item m="1" x="764"/>
        <item m="1" x="1210"/>
        <item m="1" x="850"/>
        <item m="1" x="701"/>
        <item m="1" x="1117"/>
        <item m="1" x="1120"/>
        <item m="1" x="948"/>
        <item m="1" x="866"/>
        <item x="282"/>
        <item x="225"/>
        <item x="411"/>
        <item x="106"/>
        <item x="213"/>
        <item x="304"/>
        <item x="33"/>
        <item x="324"/>
        <item x="350"/>
        <item x="22"/>
        <item x="247"/>
        <item x="42"/>
        <item x="478"/>
        <item x="362"/>
        <item x="115"/>
        <item x="89"/>
        <item x="238"/>
        <item x="21"/>
        <item x="605"/>
        <item x="447"/>
        <item x="178"/>
        <item x="28"/>
        <item x="454"/>
        <item x="200"/>
        <item x="81"/>
        <item x="427"/>
        <item x="544"/>
        <item x="584"/>
        <item x="554"/>
        <item x="230"/>
        <item x="328"/>
        <item x="484"/>
        <item x="377"/>
        <item x="76"/>
        <item x="210"/>
        <item x="580"/>
        <item x="342"/>
        <item x="303"/>
        <item x="533"/>
        <item x="46"/>
        <item x="67"/>
        <item x="340"/>
        <item x="71"/>
        <item x="444"/>
        <item x="457"/>
        <item x="300"/>
        <item x="179"/>
        <item x="84"/>
        <item x="513"/>
        <item x="530"/>
        <item x="102"/>
        <item x="519"/>
        <item x="260"/>
        <item x="5"/>
        <item x="214"/>
        <item x="609"/>
        <item x="591"/>
        <item x="331"/>
        <item x="613"/>
        <item x="31"/>
        <item x="397"/>
        <item x="500"/>
        <item x="285"/>
        <item x="149"/>
        <item x="193"/>
        <item x="436"/>
        <item x="3"/>
        <item x="473"/>
        <item x="408"/>
        <item x="24"/>
        <item x="198"/>
        <item x="190"/>
        <item x="11"/>
        <item x="593"/>
        <item x="314"/>
        <item x="240"/>
        <item x="108"/>
        <item x="409"/>
        <item x="562"/>
        <item x="550"/>
        <item x="578"/>
        <item x="493"/>
        <item x="20"/>
        <item x="231"/>
        <item x="410"/>
        <item x="148"/>
        <item x="196"/>
        <item x="587"/>
        <item x="318"/>
        <item x="174"/>
        <item x="65"/>
        <item x="365"/>
        <item x="295"/>
        <item x="227"/>
        <item x="13"/>
        <item x="255"/>
        <item x="467"/>
        <item x="539"/>
        <item x="610"/>
        <item x="393"/>
        <item x="405"/>
        <item x="4"/>
        <item x="265"/>
        <item x="191"/>
        <item x="14"/>
        <item x="474"/>
        <item x="440"/>
        <item x="175"/>
        <item x="10"/>
        <item x="334"/>
        <item x="139"/>
        <item x="98"/>
        <item x="222"/>
        <item x="492"/>
        <item x="349"/>
        <item x="359"/>
        <item x="51"/>
        <item x="545"/>
        <item x="122"/>
        <item x="297"/>
        <item x="589"/>
        <item x="555"/>
        <item x="188"/>
        <item x="249"/>
        <item x="420"/>
        <item x="313"/>
        <item x="399"/>
        <item x="26"/>
        <item x="130"/>
        <item x="234"/>
        <item x="245"/>
        <item x="35"/>
        <item x="138"/>
        <item x="75"/>
        <item x="371"/>
        <item x="150"/>
        <item x="443"/>
        <item x="375"/>
        <item x="49"/>
        <item x="477"/>
        <item x="523"/>
        <item x="301"/>
        <item x="80"/>
        <item x="252"/>
        <item x="428"/>
        <item x="506"/>
        <item x="327"/>
        <item x="254"/>
        <item x="208"/>
        <item x="306"/>
        <item x="512"/>
        <item x="581"/>
        <item x="308"/>
        <item x="470"/>
        <item x="425"/>
        <item x="39"/>
        <item x="577"/>
        <item x="546"/>
        <item x="155"/>
        <item x="445"/>
        <item x="145"/>
        <item x="462"/>
        <item x="557"/>
        <item x="494"/>
        <item x="315"/>
        <item x="187"/>
        <item x="369"/>
        <item x="590"/>
        <item x="540"/>
        <item x="413"/>
        <item x="611"/>
        <item x="337"/>
        <item x="515"/>
        <item x="491"/>
        <item x="110"/>
        <item x="528"/>
        <item x="58"/>
        <item x="125"/>
        <item x="482"/>
        <item x="366"/>
        <item x="43"/>
        <item x="6"/>
        <item x="140"/>
        <item x="476"/>
        <item x="259"/>
        <item x="163"/>
        <item x="344"/>
        <item x="69"/>
        <item x="368"/>
        <item x="164"/>
        <item x="356"/>
        <item x="403"/>
        <item x="432"/>
        <item x="433"/>
        <item x="617"/>
        <item x="137"/>
        <item x="127"/>
        <item x="376"/>
        <item x="90"/>
        <item x="287"/>
        <item x="604"/>
        <item x="535"/>
        <item x="592"/>
        <item x="116"/>
        <item x="320"/>
        <item x="15"/>
        <item x="166"/>
        <item x="601"/>
        <item x="279"/>
        <item x="123"/>
        <item x="263"/>
        <item x="401"/>
        <item x="563"/>
        <item x="19"/>
        <item x="229"/>
        <item x="261"/>
        <item x="180"/>
        <item x="586"/>
        <item x="181"/>
        <item x="317"/>
        <item x="364"/>
        <item x="47"/>
        <item x="332"/>
        <item x="573"/>
        <item x="305"/>
        <item x="159"/>
        <item x="147"/>
        <item x="83"/>
        <item x="207"/>
        <item x="165"/>
        <item x="316"/>
        <item x="292"/>
        <item x="358"/>
        <item x="131"/>
        <item x="398"/>
        <item x="537"/>
        <item x="531"/>
        <item x="220"/>
        <item x="172"/>
        <item x="109"/>
        <item x="325"/>
        <item x="158"/>
        <item x="113"/>
        <item x="219"/>
        <item x="450"/>
        <item x="280"/>
        <item x="385"/>
        <item x="32"/>
        <item x="348"/>
        <item x="107"/>
        <item x="298"/>
        <item x="505"/>
        <item x="404"/>
        <item x="206"/>
        <item x="186"/>
        <item x="309"/>
        <item x="422"/>
        <item x="209"/>
        <item x="119"/>
        <item x="542"/>
        <item x="600"/>
        <item x="143"/>
        <item x="355"/>
        <item x="518"/>
        <item x="616"/>
        <item x="386"/>
        <item x="330"/>
        <item x="598"/>
        <item x="446"/>
        <item x="353"/>
        <item x="483"/>
        <item x="520"/>
        <item x="267"/>
        <item x="154"/>
        <item x="497"/>
        <item x="596"/>
        <item x="30"/>
        <item x="323"/>
        <item x="157"/>
        <item x="100"/>
        <item x="173"/>
        <item x="289"/>
        <item x="387"/>
        <item x="417"/>
        <item x="246"/>
        <item x="441"/>
        <item x="144"/>
        <item x="74"/>
        <item x="508"/>
        <item x="8"/>
        <item x="459"/>
        <item x="59"/>
        <item x="293"/>
        <item x="437"/>
        <item x="430"/>
        <item x="553"/>
        <item x="203"/>
        <item x="118"/>
        <item x="343"/>
        <item x="453"/>
        <item x="77"/>
        <item x="390"/>
        <item x="455"/>
        <item x="62"/>
        <item x="607"/>
        <item x="307"/>
        <item x="277"/>
        <item x="273"/>
        <item x="339"/>
        <item x="466"/>
        <item x="481"/>
        <item x="517"/>
        <item x="485"/>
        <item x="463"/>
        <item x="552"/>
        <item x="132"/>
        <item x="195"/>
        <item x="275"/>
        <item x="389"/>
        <item x="458"/>
        <item x="341"/>
        <item x="602"/>
        <item x="570"/>
        <item x="606"/>
        <item x="363"/>
        <item x="490"/>
        <item x="345"/>
        <item x="17"/>
        <item x="419"/>
        <item x="423"/>
        <item x="264"/>
        <item x="620"/>
        <item x="574"/>
        <item x="472"/>
        <item x="185"/>
        <item x="276"/>
        <item x="96"/>
        <item x="302"/>
        <item x="48"/>
        <item x="121"/>
        <item x="614"/>
        <item x="576"/>
        <item x="233"/>
        <item x="487"/>
        <item x="183"/>
        <item x="480"/>
        <item x="414"/>
        <item x="101"/>
        <item x="168"/>
        <item x="400"/>
        <item x="312"/>
        <item x="510"/>
        <item x="538"/>
        <item x="239"/>
        <item x="379"/>
        <item x="126"/>
        <item x="571"/>
        <item x="281"/>
        <item x="111"/>
        <item x="421"/>
        <item x="322"/>
        <item x="235"/>
        <item x="93"/>
        <item x="134"/>
        <item x="286"/>
        <item x="543"/>
        <item x="170"/>
        <item x="380"/>
        <item x="189"/>
        <item x="442"/>
        <item x="382"/>
        <item x="579"/>
        <item x="194"/>
        <item x="567"/>
        <item x="85"/>
        <item x="78"/>
        <item x="97"/>
        <item x="224"/>
        <item x="319"/>
        <item x="114"/>
        <item x="216"/>
        <item x="243"/>
        <item x="95"/>
        <item x="566"/>
        <item x="160"/>
        <item x="36"/>
        <item x="52"/>
        <item x="469"/>
        <item x="38"/>
        <item x="86"/>
        <item x="94"/>
        <item x="526"/>
        <item x="152"/>
        <item x="471"/>
        <item x="416"/>
        <item x="129"/>
        <item x="272"/>
        <item x="572"/>
        <item x="352"/>
        <item x="176"/>
        <item x="541"/>
        <item x="37"/>
        <item x="103"/>
        <item x="461"/>
        <item x="12"/>
        <item x="40"/>
        <item x="597"/>
        <item x="68"/>
        <item x="547"/>
        <item x="136"/>
        <item x="549"/>
        <item x="16"/>
        <item x="274"/>
        <item x="87"/>
        <item x="434"/>
        <item x="73"/>
        <item x="63"/>
        <item x="451"/>
        <item x="60"/>
        <item x="395"/>
        <item x="45"/>
        <item x="489"/>
        <item x="354"/>
        <item x="120"/>
        <item x="299"/>
        <item x="378"/>
        <item x="333"/>
        <item x="88"/>
        <item x="388"/>
        <item x="511"/>
        <item x="223"/>
        <item x="212"/>
        <item x="104"/>
        <item x="54"/>
        <item x="66"/>
        <item x="514"/>
        <item x="167"/>
        <item x="412"/>
        <item x="117"/>
        <item x="431"/>
        <item x="182"/>
        <item x="211"/>
        <item x="370"/>
        <item x="585"/>
        <item x="475"/>
        <item x="560"/>
        <item x="283"/>
        <item x="266"/>
        <item x="215"/>
        <item x="9"/>
        <item x="268"/>
        <item x="372"/>
        <item x="452"/>
        <item x="0"/>
        <item x="278"/>
        <item x="161"/>
        <item x="488"/>
        <item x="141"/>
        <item x="524"/>
        <item x="426"/>
        <item x="561"/>
        <item x="456"/>
        <item x="449"/>
        <item x="435"/>
        <item x="112"/>
        <item x="55"/>
        <item x="406"/>
        <item x="1"/>
        <item x="468"/>
        <item x="619"/>
        <item x="18"/>
        <item x="603"/>
        <item x="57"/>
        <item x="201"/>
        <item x="565"/>
        <item x="253"/>
        <item x="232"/>
        <item x="465"/>
        <item x="582"/>
        <item x="7"/>
        <item x="290"/>
        <item x="124"/>
        <item x="595"/>
        <item x="271"/>
        <item x="429"/>
        <item x="575"/>
        <item x="569"/>
        <item x="53"/>
        <item x="418"/>
        <item x="338"/>
        <item x="27"/>
        <item x="396"/>
        <item x="479"/>
        <item x="357"/>
        <item x="169"/>
        <item x="438"/>
        <item x="347"/>
        <item x="527"/>
        <item x="564"/>
        <item x="558"/>
        <item x="221"/>
        <item x="29"/>
        <item x="151"/>
        <item x="226"/>
        <item x="529"/>
        <item x="72"/>
        <item x="248"/>
        <item x="534"/>
        <item x="424"/>
        <item x="256"/>
        <item x="384"/>
        <item x="135"/>
        <item x="373"/>
        <item x="556"/>
        <item x="133"/>
        <item x="612"/>
        <item x="460"/>
        <item x="374"/>
        <item x="361"/>
        <item x="269"/>
        <item x="105"/>
        <item x="218"/>
        <item x="321"/>
        <item x="392"/>
        <item x="236"/>
        <item x="99"/>
        <item x="217"/>
        <item x="199"/>
        <item x="162"/>
        <item x="70"/>
        <item x="241"/>
        <item x="310"/>
        <item x="202"/>
        <item x="177"/>
        <item x="2"/>
        <item x="507"/>
        <item x="367"/>
        <item x="568"/>
        <item x="204"/>
        <item x="296"/>
        <item x="153"/>
        <item x="346"/>
        <item x="559"/>
        <item x="82"/>
        <item x="525"/>
        <item x="360"/>
        <item x="501"/>
        <item x="197"/>
        <item x="156"/>
        <item x="335"/>
        <item x="44"/>
        <item x="171"/>
        <item x="383"/>
        <item x="270"/>
        <item x="23"/>
        <item x="551"/>
        <item x="499"/>
        <item x="34"/>
        <item x="351"/>
        <item x="192"/>
        <item x="250"/>
        <item x="521"/>
        <item x="381"/>
        <item x="608"/>
        <item x="329"/>
        <item x="237"/>
        <item x="402"/>
        <item x="92"/>
        <item x="50"/>
        <item x="509"/>
        <item x="146"/>
        <item x="41"/>
        <item x="128"/>
        <item x="242"/>
        <item x="25"/>
        <item x="294"/>
        <item x="464"/>
        <item x="599"/>
        <item x="621"/>
        <item x="536"/>
        <item x="583"/>
        <item x="61"/>
        <item x="288"/>
        <item x="56"/>
        <item x="64"/>
        <item x="532"/>
        <item x="516"/>
        <item x="502"/>
        <item x="258"/>
        <item x="504"/>
        <item x="336"/>
        <item x="205"/>
        <item x="91"/>
        <item x="548"/>
        <item x="496"/>
        <item x="415"/>
        <item x="503"/>
        <item x="391"/>
        <item x="284"/>
        <item x="618"/>
        <item x="251"/>
        <item x="439"/>
        <item x="291"/>
        <item x="184"/>
        <item x="522"/>
        <item x="615"/>
        <item x="311"/>
        <item x="262"/>
        <item x="448"/>
        <item x="486"/>
        <item x="394"/>
        <item x="407"/>
        <item x="594"/>
        <item x="257"/>
        <item x="142"/>
        <item x="588"/>
        <item x="228"/>
        <item x="79"/>
        <item x="495"/>
        <item x="498"/>
        <item x="326"/>
        <item x="244"/>
        <item t="default"/>
      </items>
    </pivotField>
    <pivotField showAll="0"/>
    <pivotField axis="axisRow"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Loan_Amount_CAD" fld="4" baseField="15" baseItem="1" numFmtId="164"/>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5173FA-630D-4DCE-876A-6EE58818809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4" firstHeaderRow="0" firstDataRow="0" firstDataCol="0" rowPageCount="1" colPageCount="1"/>
  <pivotFields count="17">
    <pivotField showAll="0"/>
    <pivotField axis="axisPage" multipleItemSelectionAllowed="1" showAll="0">
      <items count="11">
        <item x="2"/>
        <item x="3"/>
        <item x="5"/>
        <item x="1"/>
        <item x="8"/>
        <item x="6"/>
        <item x="4"/>
        <item x="9"/>
        <item x="0"/>
        <item x="7"/>
        <item t="default"/>
      </items>
    </pivotField>
    <pivotField showAll="0"/>
    <pivotField showAll="0">
      <items count="8">
        <item x="1"/>
        <item x="5"/>
        <item x="2"/>
        <item x="3"/>
        <item x="6"/>
        <item x="0"/>
        <item x="4"/>
        <item t="default"/>
      </items>
    </pivotField>
    <pivotField showAll="0"/>
    <pivotField showAll="0"/>
    <pivotField showAll="0"/>
    <pivotField showAll="0"/>
    <pivotField showAll="0"/>
    <pivotField showAll="0">
      <items count="5">
        <item x="3"/>
        <item x="0"/>
        <item x="1"/>
        <item x="2"/>
        <item t="default"/>
      </items>
    </pivotField>
    <pivotField showAll="0"/>
    <pivotField showAll="0"/>
    <pivotField showAll="0">
      <items count="5">
        <item x="2"/>
        <item x="1"/>
        <item x="3"/>
        <item x="0"/>
        <item t="default"/>
      </items>
    </pivotField>
    <pivotField numFmtId="14" showAll="0">
      <items count="1245">
        <item m="1" x="904"/>
        <item m="1" x="847"/>
        <item m="1" x="1033"/>
        <item m="1" x="728"/>
        <item m="1" x="835"/>
        <item m="1" x="926"/>
        <item m="1" x="655"/>
        <item m="1" x="946"/>
        <item m="1" x="972"/>
        <item m="1" x="644"/>
        <item m="1" x="869"/>
        <item m="1" x="664"/>
        <item m="1" x="1100"/>
        <item m="1" x="984"/>
        <item m="1" x="737"/>
        <item m="1" x="711"/>
        <item m="1" x="860"/>
        <item m="1" x="643"/>
        <item m="1" x="1227"/>
        <item m="1" x="1069"/>
        <item m="1" x="800"/>
        <item m="1" x="650"/>
        <item m="1" x="1076"/>
        <item m="1" x="822"/>
        <item m="1" x="703"/>
        <item m="1" x="1049"/>
        <item m="1" x="1166"/>
        <item m="1" x="1206"/>
        <item m="1" x="1176"/>
        <item m="1" x="852"/>
        <item m="1" x="950"/>
        <item m="1" x="1106"/>
        <item m="1" x="999"/>
        <item m="1" x="698"/>
        <item m="1" x="832"/>
        <item m="1" x="1202"/>
        <item m="1" x="964"/>
        <item m="1" x="925"/>
        <item m="1" x="1155"/>
        <item m="1" x="668"/>
        <item m="1" x="689"/>
        <item m="1" x="962"/>
        <item m="1" x="693"/>
        <item m="1" x="1066"/>
        <item m="1" x="1079"/>
        <item m="1" x="922"/>
        <item m="1" x="801"/>
        <item m="1" x="706"/>
        <item m="1" x="1135"/>
        <item m="1" x="1152"/>
        <item m="1" x="724"/>
        <item m="1" x="1141"/>
        <item m="1" x="882"/>
        <item m="1" x="627"/>
        <item m="1" x="836"/>
        <item m="1" x="1231"/>
        <item m="1" x="1213"/>
        <item m="1" x="953"/>
        <item m="1" x="1235"/>
        <item m="1" x="653"/>
        <item m="1" x="1019"/>
        <item m="1" x="1122"/>
        <item m="1" x="907"/>
        <item m="1" x="771"/>
        <item m="1" x="815"/>
        <item m="1" x="1058"/>
        <item m="1" x="625"/>
        <item m="1" x="1095"/>
        <item m="1" x="1030"/>
        <item m="1" x="646"/>
        <item m="1" x="820"/>
        <item m="1" x="812"/>
        <item m="1" x="633"/>
        <item m="1" x="1215"/>
        <item m="1" x="936"/>
        <item m="1" x="862"/>
        <item m="1" x="730"/>
        <item m="1" x="1031"/>
        <item m="1" x="1184"/>
        <item m="1" x="1172"/>
        <item m="1" x="1200"/>
        <item m="1" x="1115"/>
        <item m="1" x="642"/>
        <item m="1" x="853"/>
        <item m="1" x="1032"/>
        <item m="1" x="770"/>
        <item m="1" x="818"/>
        <item m="1" x="1209"/>
        <item m="1" x="940"/>
        <item m="1" x="796"/>
        <item m="1" x="687"/>
        <item m="1" x="987"/>
        <item m="1" x="917"/>
        <item m="1" x="849"/>
        <item m="1" x="635"/>
        <item m="1" x="877"/>
        <item m="1" x="1089"/>
        <item m="1" x="1161"/>
        <item m="1" x="1232"/>
        <item m="1" x="1015"/>
        <item m="1" x="1027"/>
        <item m="1" x="626"/>
        <item m="1" x="887"/>
        <item m="1" x="813"/>
        <item m="1" x="636"/>
        <item m="1" x="1096"/>
        <item m="1" x="1062"/>
        <item m="1" x="797"/>
        <item m="1" x="632"/>
        <item m="1" x="956"/>
        <item m="1" x="761"/>
        <item m="1" x="720"/>
        <item m="1" x="844"/>
        <item m="1" x="1114"/>
        <item m="1" x="971"/>
        <item m="1" x="981"/>
        <item m="1" x="673"/>
        <item m="1" x="1167"/>
        <item m="1" x="744"/>
        <item m="1" x="919"/>
        <item m="1" x="1211"/>
        <item m="1" x="1177"/>
        <item m="1" x="810"/>
        <item m="1" x="871"/>
        <item m="1" x="1042"/>
        <item m="1" x="935"/>
        <item m="1" x="1021"/>
        <item m="1" x="648"/>
        <item m="1" x="752"/>
        <item m="1" x="856"/>
        <item m="1" x="867"/>
        <item m="1" x="657"/>
        <item m="1" x="760"/>
        <item m="1" x="697"/>
        <item m="1" x="993"/>
        <item m="1" x="772"/>
        <item m="1" x="1065"/>
        <item m="1" x="997"/>
        <item m="1" x="671"/>
        <item m="1" x="1099"/>
        <item m="1" x="1145"/>
        <item m="1" x="923"/>
        <item m="1" x="702"/>
        <item m="1" x="874"/>
        <item m="1" x="1050"/>
        <item m="1" x="1128"/>
        <item m="1" x="949"/>
        <item m="1" x="876"/>
        <item m="1" x="830"/>
        <item m="1" x="928"/>
        <item m="1" x="1134"/>
        <item m="1" x="1203"/>
        <item m="1" x="930"/>
        <item m="1" x="1092"/>
        <item m="1" x="1047"/>
        <item m="1" x="661"/>
        <item m="1" x="1199"/>
        <item m="1" x="1168"/>
        <item m="1" x="777"/>
        <item m="1" x="1067"/>
        <item m="1" x="767"/>
        <item m="1" x="1084"/>
        <item m="1" x="1179"/>
        <item m="1" x="1116"/>
        <item m="1" x="937"/>
        <item m="1" x="809"/>
        <item m="1" x="991"/>
        <item m="1" x="1212"/>
        <item m="1" x="1162"/>
        <item m="1" x="1035"/>
        <item m="1" x="1233"/>
        <item m="1" x="959"/>
        <item m="1" x="1137"/>
        <item m="1" x="1113"/>
        <item m="1" x="732"/>
        <item m="1" x="1150"/>
        <item m="1" x="680"/>
        <item m="1" x="747"/>
        <item m="1" x="1104"/>
        <item m="1" x="988"/>
        <item m="1" x="665"/>
        <item m="1" x="628"/>
        <item m="1" x="762"/>
        <item m="1" x="1098"/>
        <item m="1" x="881"/>
        <item m="1" x="785"/>
        <item m="1" x="966"/>
        <item m="1" x="691"/>
        <item m="1" x="990"/>
        <item m="1" x="786"/>
        <item m="1" x="978"/>
        <item m="1" x="1025"/>
        <item m="1" x="1054"/>
        <item m="1" x="1055"/>
        <item m="1" x="1239"/>
        <item m="1" x="759"/>
        <item m="1" x="749"/>
        <item m="1" x="998"/>
        <item m="1" x="712"/>
        <item m="1" x="909"/>
        <item m="1" x="1226"/>
        <item m="1" x="1157"/>
        <item m="1" x="1214"/>
        <item m="1" x="738"/>
        <item m="1" x="942"/>
        <item m="1" x="637"/>
        <item m="1" x="788"/>
        <item m="1" x="1223"/>
        <item m="1" x="901"/>
        <item m="1" x="745"/>
        <item m="1" x="885"/>
        <item m="1" x="1023"/>
        <item m="1" x="1185"/>
        <item m="1" x="641"/>
        <item m="1" x="851"/>
        <item m="1" x="883"/>
        <item m="1" x="802"/>
        <item m="1" x="1208"/>
        <item m="1" x="803"/>
        <item m="1" x="939"/>
        <item m="1" x="986"/>
        <item m="1" x="669"/>
        <item m="1" x="954"/>
        <item m="1" x="1195"/>
        <item m="1" x="927"/>
        <item m="1" x="781"/>
        <item m="1" x="769"/>
        <item m="1" x="705"/>
        <item m="1" x="829"/>
        <item m="1" x="787"/>
        <item m="1" x="938"/>
        <item m="1" x="914"/>
        <item m="1" x="980"/>
        <item m="1" x="753"/>
        <item m="1" x="1020"/>
        <item m="1" x="1159"/>
        <item m="1" x="1153"/>
        <item m="1" x="842"/>
        <item m="1" x="794"/>
        <item m="1" x="731"/>
        <item m="1" x="947"/>
        <item m="1" x="780"/>
        <item m="1" x="735"/>
        <item m="1" x="841"/>
        <item m="1" x="1072"/>
        <item m="1" x="902"/>
        <item m="1" x="1007"/>
        <item m="1" x="654"/>
        <item m="1" x="970"/>
        <item m="1" x="729"/>
        <item m="1" x="920"/>
        <item m="1" x="1127"/>
        <item m="1" x="1026"/>
        <item m="1" x="828"/>
        <item m="1" x="808"/>
        <item m="1" x="931"/>
        <item m="1" x="1044"/>
        <item m="1" x="831"/>
        <item m="1" x="741"/>
        <item m="1" x="1164"/>
        <item m="1" x="1222"/>
        <item m="1" x="765"/>
        <item m="1" x="977"/>
        <item m="1" x="1140"/>
        <item m="1" x="1238"/>
        <item m="1" x="1008"/>
        <item m="1" x="952"/>
        <item m="1" x="1220"/>
        <item m="1" x="1068"/>
        <item m="1" x="975"/>
        <item m="1" x="1105"/>
        <item m="1" x="1142"/>
        <item m="1" x="889"/>
        <item m="1" x="776"/>
        <item m="1" x="1119"/>
        <item m="1" x="1218"/>
        <item m="1" x="652"/>
        <item m="1" x="945"/>
        <item m="1" x="779"/>
        <item m="1" x="722"/>
        <item m="1" x="795"/>
        <item m="1" x="911"/>
        <item m="1" x="1009"/>
        <item m="1" x="1039"/>
        <item m="1" x="868"/>
        <item m="1" x="1063"/>
        <item m="1" x="766"/>
        <item m="1" x="696"/>
        <item m="1" x="1130"/>
        <item m="1" x="630"/>
        <item m="1" x="1081"/>
        <item m="1" x="681"/>
        <item m="1" x="915"/>
        <item m="1" x="1059"/>
        <item m="1" x="1052"/>
        <item m="1" x="1175"/>
        <item m="1" x="825"/>
        <item m="1" x="740"/>
        <item m="1" x="965"/>
        <item m="1" x="1075"/>
        <item m="1" x="699"/>
        <item m="1" x="1012"/>
        <item m="1" x="1077"/>
        <item m="1" x="684"/>
        <item m="1" x="1229"/>
        <item m="1" x="929"/>
        <item m="1" x="899"/>
        <item m="1" x="895"/>
        <item m="1" x="961"/>
        <item m="1" x="1088"/>
        <item m="1" x="1103"/>
        <item m="1" x="1139"/>
        <item m="1" x="1107"/>
        <item m="1" x="1085"/>
        <item m="1" x="1174"/>
        <item m="1" x="754"/>
        <item m="1" x="817"/>
        <item m="1" x="897"/>
        <item m="1" x="1011"/>
        <item m="1" x="1080"/>
        <item m="1" x="963"/>
        <item m="1" x="1224"/>
        <item m="1" x="1192"/>
        <item m="1" x="1228"/>
        <item m="1" x="985"/>
        <item m="1" x="1112"/>
        <item m="1" x="967"/>
        <item m="1" x="639"/>
        <item m="1" x="1041"/>
        <item m="1" x="1045"/>
        <item m="1" x="886"/>
        <item m="1" x="1242"/>
        <item m="1" x="1196"/>
        <item m="1" x="1094"/>
        <item m="1" x="807"/>
        <item m="1" x="898"/>
        <item m="1" x="718"/>
        <item m="1" x="924"/>
        <item m="1" x="670"/>
        <item m="1" x="743"/>
        <item m="1" x="1236"/>
        <item m="1" x="1198"/>
        <item m="1" x="855"/>
        <item m="1" x="1109"/>
        <item m="1" x="805"/>
        <item m="1" x="1102"/>
        <item m="1" x="1036"/>
        <item m="1" x="723"/>
        <item m="1" x="790"/>
        <item m="1" x="1022"/>
        <item m="1" x="934"/>
        <item m="1" x="1132"/>
        <item m="1" x="1160"/>
        <item m="1" x="861"/>
        <item m="1" x="1001"/>
        <item m="1" x="748"/>
        <item m="1" x="1193"/>
        <item m="1" x="903"/>
        <item m="1" x="733"/>
        <item m="1" x="1043"/>
        <item m="1" x="944"/>
        <item m="1" x="857"/>
        <item m="1" x="715"/>
        <item m="1" x="756"/>
        <item m="1" x="908"/>
        <item m="1" x="1165"/>
        <item m="1" x="792"/>
        <item m="1" x="1002"/>
        <item m="1" x="811"/>
        <item m="1" x="1064"/>
        <item m="1" x="1004"/>
        <item m="1" x="1201"/>
        <item m="1" x="816"/>
        <item m="1" x="1189"/>
        <item m="1" x="707"/>
        <item m="1" x="700"/>
        <item m="1" x="719"/>
        <item m="1" x="846"/>
        <item m="1" x="941"/>
        <item m="1" x="736"/>
        <item m="1" x="838"/>
        <item m="1" x="865"/>
        <item m="1" x="717"/>
        <item m="1" x="1188"/>
        <item m="1" x="782"/>
        <item m="1" x="658"/>
        <item m="1" x="674"/>
        <item m="1" x="1091"/>
        <item m="1" x="660"/>
        <item m="1" x="708"/>
        <item m="1" x="716"/>
        <item m="1" x="1148"/>
        <item m="1" x="774"/>
        <item m="1" x="1093"/>
        <item m="1" x="1038"/>
        <item m="1" x="751"/>
        <item m="1" x="894"/>
        <item m="1" x="1194"/>
        <item m="1" x="974"/>
        <item m="1" x="798"/>
        <item m="1" x="1163"/>
        <item m="1" x="659"/>
        <item m="1" x="725"/>
        <item m="1" x="1083"/>
        <item m="1" x="634"/>
        <item m="1" x="662"/>
        <item m="1" x="1219"/>
        <item m="1" x="690"/>
        <item m="1" x="1169"/>
        <item m="1" x="758"/>
        <item m="1" x="1171"/>
        <item m="1" x="638"/>
        <item m="1" x="896"/>
        <item m="1" x="709"/>
        <item m="1" x="1056"/>
        <item m="1" x="695"/>
        <item m="1" x="685"/>
        <item m="1" x="1073"/>
        <item m="1" x="682"/>
        <item m="1" x="1017"/>
        <item m="1" x="667"/>
        <item m="1" x="1111"/>
        <item m="1" x="976"/>
        <item m="1" x="742"/>
        <item m="1" x="921"/>
        <item m="1" x="1000"/>
        <item m="1" x="955"/>
        <item m="1" x="710"/>
        <item m="1" x="1010"/>
        <item m="1" x="1133"/>
        <item m="1" x="845"/>
        <item m="1" x="834"/>
        <item m="1" x="726"/>
        <item m="1" x="676"/>
        <item m="1" x="688"/>
        <item m="1" x="1136"/>
        <item m="1" x="789"/>
        <item m="1" x="1034"/>
        <item m="1" x="739"/>
        <item m="1" x="1053"/>
        <item m="1" x="804"/>
        <item m="1" x="833"/>
        <item m="1" x="992"/>
        <item m="1" x="1207"/>
        <item m="1" x="1097"/>
        <item m="1" x="1182"/>
        <item m="1" x="905"/>
        <item m="1" x="888"/>
        <item m="1" x="837"/>
        <item m="1" x="631"/>
        <item m="1" x="890"/>
        <item m="1" x="994"/>
        <item m="1" x="1074"/>
        <item m="1" x="622"/>
        <item m="1" x="900"/>
        <item m="1" x="783"/>
        <item m="1" x="1110"/>
        <item m="1" x="763"/>
        <item m="1" x="1146"/>
        <item m="1" x="1048"/>
        <item m="1" x="1183"/>
        <item m="1" x="1078"/>
        <item m="1" x="1071"/>
        <item m="1" x="1057"/>
        <item m="1" x="734"/>
        <item m="1" x="677"/>
        <item m="1" x="1028"/>
        <item m="1" x="623"/>
        <item m="1" x="1090"/>
        <item m="1" x="1241"/>
        <item m="1" x="640"/>
        <item m="1" x="1225"/>
        <item m="1" x="679"/>
        <item m="1" x="823"/>
        <item m="1" x="1187"/>
        <item m="1" x="875"/>
        <item m="1" x="854"/>
        <item m="1" x="1087"/>
        <item m="1" x="1204"/>
        <item m="1" x="629"/>
        <item m="1" x="912"/>
        <item m="1" x="746"/>
        <item m="1" x="1217"/>
        <item m="1" x="893"/>
        <item m="1" x="1051"/>
        <item m="1" x="1197"/>
        <item m="1" x="1191"/>
        <item m="1" x="675"/>
        <item m="1" x="1040"/>
        <item m="1" x="960"/>
        <item m="1" x="649"/>
        <item m="1" x="1018"/>
        <item m="1" x="1101"/>
        <item m="1" x="979"/>
        <item m="1" x="791"/>
        <item m="1" x="1060"/>
        <item m="1" x="969"/>
        <item m="1" x="1149"/>
        <item m="1" x="1186"/>
        <item m="1" x="1180"/>
        <item m="1" x="843"/>
        <item m="1" x="651"/>
        <item m="1" x="773"/>
        <item m="1" x="848"/>
        <item m="1" x="1151"/>
        <item m="1" x="694"/>
        <item m="1" x="870"/>
        <item m="1" x="1156"/>
        <item m="1" x="1046"/>
        <item m="1" x="878"/>
        <item m="1" x="1006"/>
        <item m="1" x="757"/>
        <item m="1" x="995"/>
        <item m="1" x="1178"/>
        <item m="1" x="755"/>
        <item m="1" x="1234"/>
        <item m="1" x="1082"/>
        <item m="1" x="996"/>
        <item m="1" x="983"/>
        <item m="1" x="891"/>
        <item m="1" x="727"/>
        <item m="1" x="840"/>
        <item m="1" x="943"/>
        <item m="1" x="1014"/>
        <item m="1" x="858"/>
        <item m="1" x="721"/>
        <item m="1" x="839"/>
        <item m="1" x="821"/>
        <item m="1" x="784"/>
        <item m="1" x="692"/>
        <item m="1" x="863"/>
        <item m="1" x="932"/>
        <item m="1" x="824"/>
        <item m="1" x="799"/>
        <item m="1" x="624"/>
        <item m="1" x="1129"/>
        <item m="1" x="989"/>
        <item m="1" x="1190"/>
        <item m="1" x="826"/>
        <item m="1" x="918"/>
        <item m="1" x="775"/>
        <item m="1" x="968"/>
        <item m="1" x="1181"/>
        <item m="1" x="704"/>
        <item m="1" x="1147"/>
        <item m="1" x="982"/>
        <item m="1" x="1123"/>
        <item m="1" x="819"/>
        <item m="1" x="778"/>
        <item m="1" x="957"/>
        <item m="1" x="666"/>
        <item m="1" x="793"/>
        <item m="1" x="1005"/>
        <item m="1" x="892"/>
        <item m="1" x="645"/>
        <item m="1" x="1173"/>
        <item m="1" x="1121"/>
        <item m="1" x="656"/>
        <item m="1" x="973"/>
        <item m="1" x="814"/>
        <item m="1" x="872"/>
        <item m="1" x="1143"/>
        <item m="1" x="1003"/>
        <item m="1" x="1230"/>
        <item m="1" x="951"/>
        <item m="1" x="859"/>
        <item m="1" x="1024"/>
        <item m="1" x="714"/>
        <item m="1" x="672"/>
        <item m="1" x="1131"/>
        <item m="1" x="768"/>
        <item m="1" x="663"/>
        <item m="1" x="750"/>
        <item m="1" x="864"/>
        <item m="1" x="647"/>
        <item m="1" x="916"/>
        <item m="1" x="1086"/>
        <item m="1" x="1221"/>
        <item m="1" x="1243"/>
        <item m="1" x="1158"/>
        <item m="1" x="1205"/>
        <item m="1" x="683"/>
        <item m="1" x="910"/>
        <item m="1" x="678"/>
        <item m="1" x="686"/>
        <item m="1" x="1154"/>
        <item m="1" x="1138"/>
        <item m="1" x="1124"/>
        <item m="1" x="880"/>
        <item m="1" x="1126"/>
        <item m="1" x="958"/>
        <item m="1" x="827"/>
        <item m="1" x="713"/>
        <item m="1" x="1170"/>
        <item m="1" x="1118"/>
        <item m="1" x="1037"/>
        <item m="1" x="1125"/>
        <item m="1" x="1013"/>
        <item m="1" x="906"/>
        <item m="1" x="1240"/>
        <item m="1" x="873"/>
        <item m="1" x="1061"/>
        <item m="1" x="913"/>
        <item m="1" x="806"/>
        <item m="1" x="1144"/>
        <item m="1" x="1237"/>
        <item m="1" x="933"/>
        <item m="1" x="884"/>
        <item m="1" x="1070"/>
        <item m="1" x="1108"/>
        <item m="1" x="1016"/>
        <item m="1" x="1029"/>
        <item m="1" x="1216"/>
        <item m="1" x="879"/>
        <item m="1" x="764"/>
        <item m="1" x="1210"/>
        <item m="1" x="850"/>
        <item m="1" x="701"/>
        <item m="1" x="1117"/>
        <item m="1" x="1120"/>
        <item m="1" x="948"/>
        <item m="1" x="866"/>
        <item x="282"/>
        <item x="225"/>
        <item x="411"/>
        <item x="106"/>
        <item x="213"/>
        <item x="304"/>
        <item x="33"/>
        <item x="324"/>
        <item x="350"/>
        <item x="22"/>
        <item x="247"/>
        <item x="42"/>
        <item x="478"/>
        <item x="362"/>
        <item x="115"/>
        <item x="89"/>
        <item x="238"/>
        <item x="21"/>
        <item x="605"/>
        <item x="447"/>
        <item x="178"/>
        <item x="28"/>
        <item x="454"/>
        <item x="200"/>
        <item x="81"/>
        <item x="427"/>
        <item x="544"/>
        <item x="584"/>
        <item x="554"/>
        <item x="230"/>
        <item x="328"/>
        <item x="484"/>
        <item x="377"/>
        <item x="76"/>
        <item x="210"/>
        <item x="580"/>
        <item x="342"/>
        <item x="303"/>
        <item x="533"/>
        <item x="46"/>
        <item x="67"/>
        <item x="340"/>
        <item x="71"/>
        <item x="444"/>
        <item x="457"/>
        <item x="300"/>
        <item x="179"/>
        <item x="84"/>
        <item x="513"/>
        <item x="530"/>
        <item x="102"/>
        <item x="519"/>
        <item x="260"/>
        <item x="5"/>
        <item x="214"/>
        <item x="609"/>
        <item x="591"/>
        <item x="331"/>
        <item x="613"/>
        <item x="31"/>
        <item x="397"/>
        <item x="500"/>
        <item x="285"/>
        <item x="149"/>
        <item x="193"/>
        <item x="436"/>
        <item x="3"/>
        <item x="473"/>
        <item x="408"/>
        <item x="24"/>
        <item x="198"/>
        <item x="190"/>
        <item x="11"/>
        <item x="593"/>
        <item x="314"/>
        <item x="240"/>
        <item x="108"/>
        <item x="409"/>
        <item x="562"/>
        <item x="550"/>
        <item x="578"/>
        <item x="493"/>
        <item x="20"/>
        <item x="231"/>
        <item x="410"/>
        <item x="148"/>
        <item x="196"/>
        <item x="587"/>
        <item x="318"/>
        <item x="174"/>
        <item x="65"/>
        <item x="365"/>
        <item x="295"/>
        <item x="227"/>
        <item x="13"/>
        <item x="255"/>
        <item x="467"/>
        <item x="539"/>
        <item x="610"/>
        <item x="393"/>
        <item x="405"/>
        <item x="4"/>
        <item x="265"/>
        <item x="191"/>
        <item x="14"/>
        <item x="474"/>
        <item x="440"/>
        <item x="175"/>
        <item x="10"/>
        <item x="334"/>
        <item x="139"/>
        <item x="98"/>
        <item x="222"/>
        <item x="492"/>
        <item x="349"/>
        <item x="359"/>
        <item x="51"/>
        <item x="545"/>
        <item x="122"/>
        <item x="297"/>
        <item x="589"/>
        <item x="555"/>
        <item x="188"/>
        <item x="249"/>
        <item x="420"/>
        <item x="313"/>
        <item x="399"/>
        <item x="26"/>
        <item x="130"/>
        <item x="234"/>
        <item x="245"/>
        <item x="35"/>
        <item x="138"/>
        <item x="75"/>
        <item x="371"/>
        <item x="150"/>
        <item x="443"/>
        <item x="375"/>
        <item x="49"/>
        <item x="477"/>
        <item x="523"/>
        <item x="301"/>
        <item x="80"/>
        <item x="252"/>
        <item x="428"/>
        <item x="506"/>
        <item x="327"/>
        <item x="254"/>
        <item x="208"/>
        <item x="306"/>
        <item x="512"/>
        <item x="581"/>
        <item x="308"/>
        <item x="470"/>
        <item x="425"/>
        <item x="39"/>
        <item x="577"/>
        <item x="546"/>
        <item x="155"/>
        <item x="445"/>
        <item x="145"/>
        <item x="462"/>
        <item x="557"/>
        <item x="494"/>
        <item x="315"/>
        <item x="187"/>
        <item x="369"/>
        <item x="590"/>
        <item x="540"/>
        <item x="413"/>
        <item x="611"/>
        <item x="337"/>
        <item x="515"/>
        <item x="491"/>
        <item x="110"/>
        <item x="528"/>
        <item x="58"/>
        <item x="125"/>
        <item x="482"/>
        <item x="366"/>
        <item x="43"/>
        <item x="6"/>
        <item x="140"/>
        <item x="476"/>
        <item x="259"/>
        <item x="163"/>
        <item x="344"/>
        <item x="69"/>
        <item x="368"/>
        <item x="164"/>
        <item x="356"/>
        <item x="403"/>
        <item x="432"/>
        <item x="433"/>
        <item x="617"/>
        <item x="137"/>
        <item x="127"/>
        <item x="376"/>
        <item x="90"/>
        <item x="287"/>
        <item x="604"/>
        <item x="535"/>
        <item x="592"/>
        <item x="116"/>
        <item x="320"/>
        <item x="15"/>
        <item x="166"/>
        <item x="601"/>
        <item x="279"/>
        <item x="123"/>
        <item x="263"/>
        <item x="401"/>
        <item x="563"/>
        <item x="19"/>
        <item x="229"/>
        <item x="261"/>
        <item x="180"/>
        <item x="586"/>
        <item x="181"/>
        <item x="317"/>
        <item x="364"/>
        <item x="47"/>
        <item x="332"/>
        <item x="573"/>
        <item x="305"/>
        <item x="159"/>
        <item x="147"/>
        <item x="83"/>
        <item x="207"/>
        <item x="165"/>
        <item x="316"/>
        <item x="292"/>
        <item x="358"/>
        <item x="131"/>
        <item x="398"/>
        <item x="537"/>
        <item x="531"/>
        <item x="220"/>
        <item x="172"/>
        <item x="109"/>
        <item x="325"/>
        <item x="158"/>
        <item x="113"/>
        <item x="219"/>
        <item x="450"/>
        <item x="280"/>
        <item x="385"/>
        <item x="32"/>
        <item x="348"/>
        <item x="107"/>
        <item x="298"/>
        <item x="505"/>
        <item x="404"/>
        <item x="206"/>
        <item x="186"/>
        <item x="309"/>
        <item x="422"/>
        <item x="209"/>
        <item x="119"/>
        <item x="542"/>
        <item x="600"/>
        <item x="143"/>
        <item x="355"/>
        <item x="518"/>
        <item x="616"/>
        <item x="386"/>
        <item x="330"/>
        <item x="598"/>
        <item x="446"/>
        <item x="353"/>
        <item x="483"/>
        <item x="520"/>
        <item x="267"/>
        <item x="154"/>
        <item x="497"/>
        <item x="596"/>
        <item x="30"/>
        <item x="323"/>
        <item x="157"/>
        <item x="100"/>
        <item x="173"/>
        <item x="289"/>
        <item x="387"/>
        <item x="417"/>
        <item x="246"/>
        <item x="441"/>
        <item x="144"/>
        <item x="74"/>
        <item x="508"/>
        <item x="8"/>
        <item x="459"/>
        <item x="59"/>
        <item x="293"/>
        <item x="437"/>
        <item x="430"/>
        <item x="553"/>
        <item x="203"/>
        <item x="118"/>
        <item x="343"/>
        <item x="453"/>
        <item x="77"/>
        <item x="390"/>
        <item x="455"/>
        <item x="62"/>
        <item x="607"/>
        <item x="307"/>
        <item x="277"/>
        <item x="273"/>
        <item x="339"/>
        <item x="466"/>
        <item x="481"/>
        <item x="517"/>
        <item x="485"/>
        <item x="463"/>
        <item x="552"/>
        <item x="132"/>
        <item x="195"/>
        <item x="275"/>
        <item x="389"/>
        <item x="458"/>
        <item x="341"/>
        <item x="602"/>
        <item x="570"/>
        <item x="606"/>
        <item x="363"/>
        <item x="490"/>
        <item x="345"/>
        <item x="17"/>
        <item x="419"/>
        <item x="423"/>
        <item x="264"/>
        <item x="620"/>
        <item x="574"/>
        <item x="472"/>
        <item x="185"/>
        <item x="276"/>
        <item x="96"/>
        <item x="302"/>
        <item x="48"/>
        <item x="121"/>
        <item x="614"/>
        <item x="576"/>
        <item x="233"/>
        <item x="487"/>
        <item x="183"/>
        <item x="480"/>
        <item x="414"/>
        <item x="101"/>
        <item x="168"/>
        <item x="400"/>
        <item x="312"/>
        <item x="510"/>
        <item x="538"/>
        <item x="239"/>
        <item x="379"/>
        <item x="126"/>
        <item x="571"/>
        <item x="281"/>
        <item x="111"/>
        <item x="421"/>
        <item x="322"/>
        <item x="235"/>
        <item x="93"/>
        <item x="134"/>
        <item x="286"/>
        <item x="543"/>
        <item x="170"/>
        <item x="380"/>
        <item x="189"/>
        <item x="442"/>
        <item x="382"/>
        <item x="579"/>
        <item x="194"/>
        <item x="567"/>
        <item x="85"/>
        <item x="78"/>
        <item x="97"/>
        <item x="224"/>
        <item x="319"/>
        <item x="114"/>
        <item x="216"/>
        <item x="243"/>
        <item x="95"/>
        <item x="566"/>
        <item x="160"/>
        <item x="36"/>
        <item x="52"/>
        <item x="469"/>
        <item x="38"/>
        <item x="86"/>
        <item x="94"/>
        <item x="526"/>
        <item x="152"/>
        <item x="471"/>
        <item x="416"/>
        <item x="129"/>
        <item x="272"/>
        <item x="572"/>
        <item x="352"/>
        <item x="176"/>
        <item x="541"/>
        <item x="37"/>
        <item x="103"/>
        <item x="461"/>
        <item x="12"/>
        <item x="40"/>
        <item x="597"/>
        <item x="68"/>
        <item x="547"/>
        <item x="136"/>
        <item x="549"/>
        <item x="16"/>
        <item x="274"/>
        <item x="87"/>
        <item x="434"/>
        <item x="73"/>
        <item x="63"/>
        <item x="451"/>
        <item x="60"/>
        <item x="395"/>
        <item x="45"/>
        <item x="489"/>
        <item x="354"/>
        <item x="120"/>
        <item x="299"/>
        <item x="378"/>
        <item x="333"/>
        <item x="88"/>
        <item x="388"/>
        <item x="511"/>
        <item x="223"/>
        <item x="212"/>
        <item x="104"/>
        <item x="54"/>
        <item x="66"/>
        <item x="514"/>
        <item x="167"/>
        <item x="412"/>
        <item x="117"/>
        <item x="431"/>
        <item x="182"/>
        <item x="211"/>
        <item x="370"/>
        <item x="585"/>
        <item x="475"/>
        <item x="560"/>
        <item x="283"/>
        <item x="266"/>
        <item x="215"/>
        <item x="9"/>
        <item x="268"/>
        <item x="372"/>
        <item x="452"/>
        <item x="0"/>
        <item x="278"/>
        <item x="161"/>
        <item x="488"/>
        <item x="141"/>
        <item x="524"/>
        <item x="426"/>
        <item x="561"/>
        <item x="456"/>
        <item x="449"/>
        <item x="435"/>
        <item x="112"/>
        <item x="55"/>
        <item x="406"/>
        <item x="1"/>
        <item x="468"/>
        <item x="619"/>
        <item x="18"/>
        <item x="603"/>
        <item x="57"/>
        <item x="201"/>
        <item x="565"/>
        <item x="253"/>
        <item x="232"/>
        <item x="465"/>
        <item x="582"/>
        <item x="7"/>
        <item x="290"/>
        <item x="124"/>
        <item x="595"/>
        <item x="271"/>
        <item x="429"/>
        <item x="575"/>
        <item x="569"/>
        <item x="53"/>
        <item x="418"/>
        <item x="338"/>
        <item x="27"/>
        <item x="396"/>
        <item x="479"/>
        <item x="357"/>
        <item x="169"/>
        <item x="438"/>
        <item x="347"/>
        <item x="527"/>
        <item x="564"/>
        <item x="558"/>
        <item x="221"/>
        <item x="29"/>
        <item x="151"/>
        <item x="226"/>
        <item x="529"/>
        <item x="72"/>
        <item x="248"/>
        <item x="534"/>
        <item x="424"/>
        <item x="256"/>
        <item x="384"/>
        <item x="135"/>
        <item x="373"/>
        <item x="556"/>
        <item x="133"/>
        <item x="612"/>
        <item x="460"/>
        <item x="374"/>
        <item x="361"/>
        <item x="269"/>
        <item x="105"/>
        <item x="218"/>
        <item x="321"/>
        <item x="392"/>
        <item x="236"/>
        <item x="99"/>
        <item x="217"/>
        <item x="199"/>
        <item x="162"/>
        <item x="70"/>
        <item x="241"/>
        <item x="310"/>
        <item x="202"/>
        <item x="177"/>
        <item x="2"/>
        <item x="507"/>
        <item x="367"/>
        <item x="568"/>
        <item x="204"/>
        <item x="296"/>
        <item x="153"/>
        <item x="346"/>
        <item x="559"/>
        <item x="82"/>
        <item x="525"/>
        <item x="360"/>
        <item x="501"/>
        <item x="197"/>
        <item x="156"/>
        <item x="335"/>
        <item x="44"/>
        <item x="171"/>
        <item x="383"/>
        <item x="270"/>
        <item x="23"/>
        <item x="551"/>
        <item x="499"/>
        <item x="34"/>
        <item x="351"/>
        <item x="192"/>
        <item x="250"/>
        <item x="521"/>
        <item x="381"/>
        <item x="608"/>
        <item x="329"/>
        <item x="237"/>
        <item x="402"/>
        <item x="92"/>
        <item x="50"/>
        <item x="509"/>
        <item x="146"/>
        <item x="41"/>
        <item x="128"/>
        <item x="242"/>
        <item x="25"/>
        <item x="294"/>
        <item x="464"/>
        <item x="599"/>
        <item x="621"/>
        <item x="536"/>
        <item x="583"/>
        <item x="61"/>
        <item x="288"/>
        <item x="56"/>
        <item x="64"/>
        <item x="532"/>
        <item x="516"/>
        <item x="502"/>
        <item x="258"/>
        <item x="504"/>
        <item x="336"/>
        <item x="205"/>
        <item x="91"/>
        <item x="548"/>
        <item x="496"/>
        <item x="415"/>
        <item x="503"/>
        <item x="391"/>
        <item x="284"/>
        <item x="618"/>
        <item x="251"/>
        <item x="439"/>
        <item x="291"/>
        <item x="184"/>
        <item x="522"/>
        <item x="615"/>
        <item x="311"/>
        <item x="262"/>
        <item x="448"/>
        <item x="486"/>
        <item x="394"/>
        <item x="407"/>
        <item x="594"/>
        <item x="257"/>
        <item x="142"/>
        <item x="588"/>
        <item x="228"/>
        <item x="79"/>
        <item x="495"/>
        <item x="498"/>
        <item x="326"/>
        <item x="244"/>
        <item t="default"/>
      </items>
    </pivotField>
    <pivotField showAll="0"/>
    <pivotField showAll="0" defaultSubtotal="0"/>
    <pivotField showAll="0" defaultSubtotal="0">
      <items count="6">
        <item x="0"/>
        <item x="1"/>
        <item x="2"/>
        <item x="3"/>
        <item x="4"/>
        <item x="5"/>
      </items>
    </pivotField>
  </pivotFields>
  <pageFields count="1">
    <pageField fld="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1EAA77B1-6D3E-432E-A14A-DEBC462A79E3}" sourceName="Province">
  <pivotTables>
    <pivotTable tabId="5" name="PivotTable11"/>
    <pivotTable tabId="5" name="PivotTable2"/>
    <pivotTable tabId="5" name="PivotTable3"/>
    <pivotTable tabId="5" name="PivotTable4"/>
    <pivotTable tabId="5" name="PivotTable5"/>
    <pivotTable tabId="5" name="PivotTable1"/>
    <pivotTable tabId="5" name="PivotTable6"/>
    <pivotTable tabId="5" name="PivotTable8"/>
  </pivotTables>
  <data>
    <tabular pivotCacheId="2018539864">
      <items count="10">
        <i x="2" s="1"/>
        <i x="3" s="1"/>
        <i x="5" s="1"/>
        <i x="1" s="1"/>
        <i x="8" s="1"/>
        <i x="6" s="1"/>
        <i x="4" s="1"/>
        <i x="9" s="1"/>
        <i x="0"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Purpose" xr10:uid="{4E46D72E-77E4-4C65-B866-B382F336A4B6}" sourceName="Loan_Purpose">
  <pivotTables>
    <pivotTable tabId="5" name="PivotTable11"/>
    <pivotTable tabId="5" name="PivotTable2"/>
    <pivotTable tabId="5" name="PivotTable3"/>
    <pivotTable tabId="5" name="PivotTable4"/>
    <pivotTable tabId="5" name="PivotTable5"/>
    <pivotTable tabId="5" name="PivotTable1"/>
    <pivotTable tabId="5" name="PivotTable6"/>
    <pivotTable tabId="5" name="PivotTable8"/>
  </pivotTables>
  <data>
    <tabular pivotCacheId="2018539864">
      <items count="7">
        <i x="1" s="1"/>
        <i x="5" s="1"/>
        <i x="2" s="1"/>
        <i x="3" s="1"/>
        <i x="6"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85A93DC4-3A34-49B8-9F79-17437412580A}" sourceName="Employment_Status">
  <pivotTables>
    <pivotTable tabId="5" name="PivotTable11"/>
    <pivotTable tabId="5" name="PivotTable2"/>
    <pivotTable tabId="5" name="PivotTable3"/>
    <pivotTable tabId="5" name="PivotTable4"/>
    <pivotTable tabId="5" name="PivotTable5"/>
    <pivotTable tabId="5" name="PivotTable1"/>
    <pivotTable tabId="5" name="PivotTable6"/>
    <pivotTable tabId="5" name="PivotTable8"/>
  </pivotTables>
  <data>
    <tabular pivotCacheId="2018539864">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CA779292-E77F-4675-9F60-048F0DF947EF}" sourceName="Loan_Status">
  <pivotTables>
    <pivotTable tabId="5" name="PivotTable11"/>
    <pivotTable tabId="5" name="PivotTable2"/>
    <pivotTable tabId="5" name="PivotTable3"/>
    <pivotTable tabId="5" name="PivotTable4"/>
    <pivotTable tabId="5" name="PivotTable5"/>
    <pivotTable tabId="5" name="PivotTable1"/>
    <pivotTable tabId="5" name="PivotTable6"/>
    <pivotTable tabId="5" name="PivotTable8"/>
  </pivotTables>
  <data>
    <tabular pivotCacheId="2018539864">
      <items count="4">
        <i x="2" s="1"/>
        <i x="1"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Funding_Date" xr10:uid="{E5127BEE-F619-40A1-9B86-AB4FF245BE85}" sourceName="Years (Funding_Date)">
  <pivotTables>
    <pivotTable tabId="5" name="PivotTable11"/>
    <pivotTable tabId="5" name="PivotTable2"/>
    <pivotTable tabId="5" name="PivotTable3"/>
    <pivotTable tabId="5" name="PivotTable4"/>
    <pivotTable tabId="5" name="PivotTable5"/>
    <pivotTable tabId="5" name="PivotTable1"/>
    <pivotTable tabId="5" name="PivotTable6"/>
    <pivotTable tabId="5" name="PivotTable8"/>
  </pivotTables>
  <data>
    <tabular pivotCacheId="2018539864">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e" xr10:uid="{879D844F-27F1-4A34-83C2-279CBBC3B35D}" cache="Slicer_Province" caption="Province" columnCount="2" style="SlicerStyleLight1 2" rowHeight="251883"/>
  <slicer name="Loan_Purpose" xr10:uid="{11C7634B-D6B2-4B61-80DD-2D6396FE6BB2}" cache="Slicer_Loan_Purpose" caption="Loan_Purpose" columnCount="2" rowHeight="251883"/>
  <slicer name="Employment_Status" xr10:uid="{D7CBF972-B5C0-4F08-BBE5-B13E22902A91}" cache="Slicer_Employment_Status" caption="Employment Status" columnCount="2" rowHeight="251883"/>
  <slicer name="Loan_Status" xr10:uid="{403C0DD2-8F58-4234-8297-C1C44C62D5B7}" cache="Slicer_Loan_Status" caption="Loan Status" columnCount="2" rowHeight="251883"/>
  <slicer name="Years" xr10:uid="{B366BF71-3B01-4D63-B2EA-BFB5FFCC5D8E}" cache="Slicer_Years__Funding_Date" caption="Years" columnCount="4"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e 1" xr10:uid="{8C6E12C9-F65C-4C99-8294-DCFA51994A1E}" cache="Slicer_Province" caption="Province" columnCount="2" style="SlicerStyleLight1 2" rowHeight="251883"/>
  <slicer name="Loan_Purpose 1" xr10:uid="{14C456B9-F875-4667-AFAA-17CDF3CC558C}" cache="Slicer_Loan_Purpose" caption="Loan_Purpose" columnCount="2" rowHeight="251883"/>
  <slicer name="Employment_Status 1" xr10:uid="{521DCFB5-6A1E-48E7-B26E-D2FC7AB31A05}" cache="Slicer_Employment_Status" caption="Employment Status" columnCount="2" rowHeight="251883"/>
  <slicer name="Loan_Status 1" xr10:uid="{A42B4D02-048C-4685-8CE7-262E5DAEECD5}" cache="Slicer_Loan_Status" caption="Loan Status" columnCount="2" rowHeight="251883"/>
  <slicer name="Years 1" xr10:uid="{81BC746A-2029-48FC-95F4-52BDF2EE93BB}" cache="Slicer_Years__Funding_Date" caption="Years" columnCount="4" style="SlicerStyleLight1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8AD5B2-ADBC-4AE5-94E1-989811FDD136}" name="tbl_loans" displayName="tbl_loans" ref="A1:N801" totalsRowShown="0">
  <autoFilter ref="A1:N801" xr:uid="{1D8AD5B2-ADBC-4AE5-94E1-989811FDD136}"/>
  <tableColumns count="14">
    <tableColumn id="1" xr3:uid="{4407C5D0-F3E0-424C-B2D4-C5CBDE92B3CC}" name="Loan_ID"/>
    <tableColumn id="2" xr3:uid="{784BE591-9FD0-4262-8805-E464430D70DA}" name="Province"/>
    <tableColumn id="3" xr3:uid="{36299818-800E-4D67-A876-343391E51420}" name="City_Tier"/>
    <tableColumn id="4" xr3:uid="{97D83AAE-09A9-42D8-84C3-93592545C72A}" name="Loan_Purpose"/>
    <tableColumn id="5" xr3:uid="{5793B99E-C54D-4222-BA07-118F6F0FAF48}" name="Loan_Amount_CAD"/>
    <tableColumn id="6" xr3:uid="{C89D9CE2-C0A4-4DF9-A5E4-059C697F058D}" name="Interest_Rate_%"/>
    <tableColumn id="7" xr3:uid="{BCB0F178-D471-4926-8AAA-CE77193CECC4}" name="Loan_Term_Months"/>
    <tableColumn id="8" xr3:uid="{B5EC393D-AAE1-4B5B-B714-375246C51314}" name="Annual_Income_CAD"/>
    <tableColumn id="9" xr3:uid="{4C1B4F31-34CC-45C0-BA33-1AAEFF078925}" name="Credit_Score"/>
    <tableColumn id="10" xr3:uid="{020841BC-A240-4CB2-AF7B-3BC9AA97E6CC}" name="Employment_Status"/>
    <tableColumn id="11" xr3:uid="{7E685003-AAEB-4C35-ADB4-EA3918D53311}" name="Years_Employed"/>
    <tableColumn id="12" xr3:uid="{0C331660-3EFF-4760-800E-33CD07D45DE5}" name="Debt_to_Income_%"/>
    <tableColumn id="13" xr3:uid="{71194A77-9668-4B8B-AEB5-7CD81BB78C73}" name="Loan_Status"/>
    <tableColumn id="14" xr3:uid="{8DCD4DE4-21BA-4C57-BC99-4394BC9CAB3B}" name="Funding_D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A4E7DD-77E4-4AD5-A93F-6180BFA52CE8}" name="tbl_loans_clean" displayName="tbl_loans_clean" ref="A1:O801" totalsRowShown="0">
  <autoFilter ref="A1:O801" xr:uid="{ABA4E7DD-77E4-4AD5-A93F-6180BFA52CE8}"/>
  <sortState xmlns:xlrd2="http://schemas.microsoft.com/office/spreadsheetml/2017/richdata2" ref="A2:O801">
    <sortCondition ref="N1:N801"/>
  </sortState>
  <tableColumns count="15">
    <tableColumn id="1" xr3:uid="{90B0D432-F526-4DDF-B6F0-40B14EF36CFD}" name="Loan_ID"/>
    <tableColumn id="2" xr3:uid="{86CFB175-9C73-4D4A-A4BA-D2F2A434759F}" name="Province"/>
    <tableColumn id="3" xr3:uid="{E7C973F1-9F40-4FB9-9D92-9B3228E6C316}" name="City_Tier"/>
    <tableColumn id="4" xr3:uid="{A7AC009B-77A9-4AD7-B4EA-DB91E83A615A}" name="Loan_Purpose"/>
    <tableColumn id="5" xr3:uid="{FB18A1B2-5011-43A8-BF3A-6DF93F28F989}" name="Loan_Amount_CAD"/>
    <tableColumn id="6" xr3:uid="{42E64DE3-0A73-42C1-AB1E-EB8225B4E850}" name="Interest_Rate_%"/>
    <tableColumn id="7" xr3:uid="{75EA9C87-7CD8-4E78-8F6B-51BB7BB61631}" name="Loan_Term_Months"/>
    <tableColumn id="8" xr3:uid="{0748E3E6-8D85-4B08-84CF-4079E1654C2E}" name="Annual_Income_CAD"/>
    <tableColumn id="9" xr3:uid="{425F2A0B-1F27-4150-A087-117514082B1F}" name="Credit_Score"/>
    <tableColumn id="10" xr3:uid="{251E3A54-D064-44F2-9B70-7D8A67664139}" name="Employment_Status"/>
    <tableColumn id="11" xr3:uid="{8EE4CE10-543D-4640-A99D-B4A7886377F3}" name="Years_Employed"/>
    <tableColumn id="12" xr3:uid="{353A7EB7-C779-4B24-B94A-052A118881D5}" name="Debt_to_Income_%"/>
    <tableColumn id="13" xr3:uid="{E59D3550-0681-4D78-90B9-CC1792D69E28}" name="Loan_Status"/>
    <tableColumn id="14" xr3:uid="{2661ECFE-0FEE-4E05-963B-BB15FFB84E9A}" name="Funding_Date" dataDxfId="6"/>
    <tableColumn id="17" xr3:uid="{D965C0FF-4DE8-4725-A936-168654C5868A}" name="Credit_score_bucket" dataDxfId="5">
      <calculatedColumnFormula array="1">_xlfn.IFS(tbl_loans_clean[[#This Row],[Credit_Score]]&lt;650,"580-649",tbl_loans_clean[[#This Row],[Credit_Score]]&lt;700,"650-699",tbl_loans_clean[[#This Row],[Credit_Score]]&lt;750,"700-749",TRUE,"750+")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D95C0-2F05-45B4-8A48-ACDAB1ECF839}">
  <sheetPr codeName="Sheet1"/>
  <dimension ref="A1:N801"/>
  <sheetViews>
    <sheetView topLeftCell="J1" zoomScaleNormal="100" workbookViewId="0">
      <pane ySplit="1" topLeftCell="A7" activePane="bottomLeft" state="frozen"/>
      <selection pane="bottomLeft" activeCell="T21" sqref="T21"/>
    </sheetView>
  </sheetViews>
  <sheetFormatPr defaultRowHeight="14.5" x14ac:dyDescent="0.35"/>
  <cols>
    <col min="1" max="1" width="10.7265625" customWidth="1"/>
    <col min="2" max="2" width="13" customWidth="1"/>
    <col min="3" max="3" width="12.453125" customWidth="1"/>
    <col min="4" max="4" width="14.453125" customWidth="1"/>
    <col min="5" max="5" width="18.6328125" customWidth="1"/>
    <col min="6" max="6" width="16.26953125" customWidth="1"/>
    <col min="7" max="7" width="18.81640625" customWidth="1"/>
    <col min="8" max="8" width="20.26953125" customWidth="1"/>
    <col min="9" max="9" width="13.54296875" customWidth="1"/>
    <col min="10" max="10" width="21.26953125" customWidth="1"/>
    <col min="11" max="11" width="16.54296875" customWidth="1"/>
    <col min="12" max="12" width="18.7265625" customWidth="1"/>
    <col min="13" max="13" width="15.453125" customWidth="1"/>
    <col min="14" max="14" width="14.36328125"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15</v>
      </c>
      <c r="C2" t="s">
        <v>16</v>
      </c>
      <c r="D2" t="s">
        <v>17</v>
      </c>
      <c r="E2">
        <v>125234</v>
      </c>
      <c r="F2">
        <v>11.42</v>
      </c>
      <c r="G2">
        <v>48</v>
      </c>
      <c r="H2">
        <v>43960</v>
      </c>
      <c r="I2">
        <v>660</v>
      </c>
      <c r="J2" t="s">
        <v>18</v>
      </c>
      <c r="K2">
        <v>8.4</v>
      </c>
      <c r="L2">
        <v>45.2</v>
      </c>
      <c r="M2" t="s">
        <v>19</v>
      </c>
      <c r="N2">
        <v>45264</v>
      </c>
    </row>
    <row r="3" spans="1:14" x14ac:dyDescent="0.35">
      <c r="A3" t="s">
        <v>20</v>
      </c>
      <c r="B3" t="s">
        <v>21</v>
      </c>
      <c r="C3" t="s">
        <v>22</v>
      </c>
      <c r="D3" t="s">
        <v>17</v>
      </c>
      <c r="E3">
        <v>573302</v>
      </c>
      <c r="F3">
        <v>9.5500000000000007</v>
      </c>
      <c r="G3">
        <v>240</v>
      </c>
      <c r="H3">
        <v>58791</v>
      </c>
      <c r="I3">
        <v>648</v>
      </c>
      <c r="J3" t="s">
        <v>18</v>
      </c>
      <c r="K3">
        <v>0.5</v>
      </c>
      <c r="L3">
        <v>27.4</v>
      </c>
      <c r="M3" t="s">
        <v>23</v>
      </c>
      <c r="N3">
        <v>45298</v>
      </c>
    </row>
    <row r="4" spans="1:14" x14ac:dyDescent="0.35">
      <c r="A4" t="s">
        <v>24</v>
      </c>
      <c r="B4" t="s">
        <v>25</v>
      </c>
      <c r="C4" t="s">
        <v>16</v>
      </c>
      <c r="D4" t="s">
        <v>17</v>
      </c>
      <c r="E4">
        <v>183570</v>
      </c>
      <c r="F4">
        <v>13.9</v>
      </c>
      <c r="G4">
        <v>120</v>
      </c>
      <c r="H4">
        <v>53216</v>
      </c>
      <c r="I4">
        <v>727</v>
      </c>
      <c r="J4" t="s">
        <v>26</v>
      </c>
      <c r="K4">
        <v>10</v>
      </c>
      <c r="L4">
        <v>27.6</v>
      </c>
      <c r="M4" t="s">
        <v>23</v>
      </c>
      <c r="N4">
        <v>45446</v>
      </c>
    </row>
    <row r="5" spans="1:14" x14ac:dyDescent="0.35">
      <c r="A5" t="s">
        <v>27</v>
      </c>
      <c r="B5" t="s">
        <v>28</v>
      </c>
      <c r="C5" t="s">
        <v>16</v>
      </c>
      <c r="D5" t="s">
        <v>17</v>
      </c>
      <c r="E5">
        <v>514733</v>
      </c>
      <c r="F5">
        <v>8.81</v>
      </c>
      <c r="G5">
        <v>12</v>
      </c>
      <c r="H5">
        <v>191539</v>
      </c>
      <c r="I5">
        <v>595</v>
      </c>
      <c r="J5" t="s">
        <v>18</v>
      </c>
      <c r="K5">
        <v>13.7</v>
      </c>
      <c r="L5">
        <v>12.8</v>
      </c>
      <c r="M5" t="s">
        <v>23</v>
      </c>
      <c r="N5">
        <v>44358</v>
      </c>
    </row>
    <row r="6" spans="1:14" x14ac:dyDescent="0.35">
      <c r="A6" t="s">
        <v>29</v>
      </c>
      <c r="B6" t="s">
        <v>30</v>
      </c>
      <c r="C6" t="s">
        <v>22</v>
      </c>
      <c r="D6" t="s">
        <v>17</v>
      </c>
      <c r="E6">
        <v>289996</v>
      </c>
      <c r="F6">
        <v>7.5</v>
      </c>
      <c r="G6">
        <v>60</v>
      </c>
      <c r="H6">
        <v>92427</v>
      </c>
      <c r="I6">
        <v>684</v>
      </c>
      <c r="J6" t="s">
        <v>18</v>
      </c>
      <c r="K6">
        <v>15.5</v>
      </c>
      <c r="L6">
        <v>40.1</v>
      </c>
      <c r="M6" t="s">
        <v>23</v>
      </c>
      <c r="N6">
        <v>44449</v>
      </c>
    </row>
    <row r="7" spans="1:14" x14ac:dyDescent="0.35">
      <c r="A7" t="s">
        <v>31</v>
      </c>
      <c r="B7" t="s">
        <v>30</v>
      </c>
      <c r="C7" t="s">
        <v>16</v>
      </c>
      <c r="D7" t="s">
        <v>32</v>
      </c>
      <c r="E7">
        <v>346383</v>
      </c>
      <c r="F7">
        <v>5.04</v>
      </c>
      <c r="G7">
        <v>300</v>
      </c>
      <c r="H7">
        <v>140470</v>
      </c>
      <c r="I7">
        <v>744</v>
      </c>
      <c r="J7" t="s">
        <v>18</v>
      </c>
      <c r="K7">
        <v>16.600000000000001</v>
      </c>
      <c r="L7">
        <v>17.899999999999999</v>
      </c>
      <c r="M7" t="s">
        <v>23</v>
      </c>
      <c r="N7">
        <v>44328</v>
      </c>
    </row>
    <row r="8" spans="1:14" x14ac:dyDescent="0.35">
      <c r="A8" t="s">
        <v>33</v>
      </c>
      <c r="B8" t="s">
        <v>30</v>
      </c>
      <c r="C8" t="s">
        <v>34</v>
      </c>
      <c r="D8" t="s">
        <v>17</v>
      </c>
      <c r="E8">
        <v>399145</v>
      </c>
      <c r="F8">
        <v>12.08</v>
      </c>
      <c r="G8">
        <v>12</v>
      </c>
      <c r="H8">
        <v>101290</v>
      </c>
      <c r="I8">
        <v>780</v>
      </c>
      <c r="J8" t="s">
        <v>35</v>
      </c>
      <c r="K8">
        <v>20.9</v>
      </c>
      <c r="L8">
        <v>44</v>
      </c>
      <c r="M8" t="s">
        <v>23</v>
      </c>
      <c r="N8">
        <v>44670</v>
      </c>
    </row>
    <row r="9" spans="1:14" x14ac:dyDescent="0.35">
      <c r="A9" t="s">
        <v>36</v>
      </c>
      <c r="B9" t="s">
        <v>37</v>
      </c>
      <c r="C9" t="s">
        <v>34</v>
      </c>
      <c r="D9" t="s">
        <v>38</v>
      </c>
      <c r="E9">
        <v>737847</v>
      </c>
      <c r="F9">
        <v>11.5</v>
      </c>
      <c r="G9">
        <v>24</v>
      </c>
      <c r="H9">
        <v>75014</v>
      </c>
      <c r="I9">
        <v>776</v>
      </c>
      <c r="J9" t="s">
        <v>39</v>
      </c>
      <c r="K9">
        <v>5.4</v>
      </c>
      <c r="L9">
        <v>44.4</v>
      </c>
      <c r="M9" t="s">
        <v>23</v>
      </c>
      <c r="N9">
        <v>45329</v>
      </c>
    </row>
    <row r="10" spans="1:14" x14ac:dyDescent="0.35">
      <c r="A10" t="s">
        <v>40</v>
      </c>
      <c r="B10" t="s">
        <v>28</v>
      </c>
      <c r="C10" t="s">
        <v>22</v>
      </c>
      <c r="D10" t="s">
        <v>17</v>
      </c>
      <c r="E10">
        <v>516603</v>
      </c>
      <c r="F10">
        <v>7.54</v>
      </c>
      <c r="G10">
        <v>60</v>
      </c>
      <c r="H10">
        <v>163150</v>
      </c>
      <c r="I10">
        <v>764</v>
      </c>
      <c r="J10" t="s">
        <v>26</v>
      </c>
      <c r="K10">
        <v>3</v>
      </c>
      <c r="L10">
        <v>45.7</v>
      </c>
      <c r="M10" t="s">
        <v>23</v>
      </c>
      <c r="N10">
        <v>44902</v>
      </c>
    </row>
    <row r="11" spans="1:14" x14ac:dyDescent="0.35">
      <c r="A11" t="s">
        <v>41</v>
      </c>
      <c r="B11" t="s">
        <v>28</v>
      </c>
      <c r="C11" t="s">
        <v>22</v>
      </c>
      <c r="D11" t="s">
        <v>32</v>
      </c>
      <c r="E11">
        <v>620863</v>
      </c>
      <c r="F11">
        <v>3.48</v>
      </c>
      <c r="G11">
        <v>120</v>
      </c>
      <c r="H11">
        <v>78519</v>
      </c>
      <c r="I11">
        <v>844</v>
      </c>
      <c r="J11" t="s">
        <v>18</v>
      </c>
      <c r="K11">
        <v>21.3</v>
      </c>
      <c r="L11">
        <v>28.8</v>
      </c>
      <c r="M11" t="s">
        <v>23</v>
      </c>
      <c r="N11">
        <v>45255</v>
      </c>
    </row>
    <row r="12" spans="1:14" x14ac:dyDescent="0.35">
      <c r="A12" t="s">
        <v>42</v>
      </c>
      <c r="B12" t="s">
        <v>30</v>
      </c>
      <c r="C12" t="s">
        <v>34</v>
      </c>
      <c r="D12" t="s">
        <v>43</v>
      </c>
      <c r="E12">
        <v>512365</v>
      </c>
      <c r="F12">
        <v>12.68</v>
      </c>
      <c r="G12">
        <v>12</v>
      </c>
      <c r="H12">
        <v>32042</v>
      </c>
      <c r="I12">
        <v>679</v>
      </c>
      <c r="J12" t="s">
        <v>18</v>
      </c>
      <c r="K12">
        <v>3.9</v>
      </c>
      <c r="L12">
        <v>35.1</v>
      </c>
      <c r="M12" t="s">
        <v>23</v>
      </c>
      <c r="N12">
        <v>44471</v>
      </c>
    </row>
    <row r="13" spans="1:14" x14ac:dyDescent="0.35">
      <c r="A13" t="s">
        <v>44</v>
      </c>
      <c r="B13" t="s">
        <v>21</v>
      </c>
      <c r="C13" t="s">
        <v>34</v>
      </c>
      <c r="D13" t="s">
        <v>45</v>
      </c>
      <c r="E13">
        <v>624328</v>
      </c>
      <c r="F13">
        <v>3.33</v>
      </c>
      <c r="G13">
        <v>36</v>
      </c>
      <c r="H13">
        <v>77052</v>
      </c>
      <c r="I13">
        <v>793</v>
      </c>
      <c r="J13" t="s">
        <v>18</v>
      </c>
      <c r="K13">
        <v>24.4</v>
      </c>
      <c r="L13">
        <v>39.1</v>
      </c>
      <c r="M13" t="s">
        <v>19</v>
      </c>
      <c r="N13">
        <v>44383</v>
      </c>
    </row>
    <row r="14" spans="1:14" x14ac:dyDescent="0.35">
      <c r="A14" t="s">
        <v>46</v>
      </c>
      <c r="B14" t="s">
        <v>25</v>
      </c>
      <c r="C14" t="s">
        <v>22</v>
      </c>
      <c r="D14" t="s">
        <v>32</v>
      </c>
      <c r="E14">
        <v>153510</v>
      </c>
      <c r="F14">
        <v>11.15</v>
      </c>
      <c r="G14">
        <v>300</v>
      </c>
      <c r="H14">
        <v>42389</v>
      </c>
      <c r="I14">
        <v>741</v>
      </c>
      <c r="J14" t="s">
        <v>18</v>
      </c>
      <c r="K14">
        <v>21.1</v>
      </c>
      <c r="L14">
        <v>13.2</v>
      </c>
      <c r="M14" t="s">
        <v>23</v>
      </c>
      <c r="N14">
        <v>45145</v>
      </c>
    </row>
    <row r="15" spans="1:14" x14ac:dyDescent="0.35">
      <c r="A15" t="s">
        <v>47</v>
      </c>
      <c r="B15" t="s">
        <v>30</v>
      </c>
      <c r="C15" t="s">
        <v>34</v>
      </c>
      <c r="D15" t="s">
        <v>17</v>
      </c>
      <c r="E15">
        <v>184587</v>
      </c>
      <c r="F15">
        <v>14.16</v>
      </c>
      <c r="G15">
        <v>48</v>
      </c>
      <c r="H15">
        <v>123961</v>
      </c>
      <c r="I15">
        <v>736</v>
      </c>
      <c r="J15" t="s">
        <v>18</v>
      </c>
      <c r="K15">
        <v>12.5</v>
      </c>
      <c r="L15">
        <v>32</v>
      </c>
      <c r="M15" t="s">
        <v>48</v>
      </c>
      <c r="N15">
        <v>44439</v>
      </c>
    </row>
    <row r="16" spans="1:14" x14ac:dyDescent="0.35">
      <c r="A16" t="s">
        <v>49</v>
      </c>
      <c r="B16" t="s">
        <v>30</v>
      </c>
      <c r="C16" t="s">
        <v>34</v>
      </c>
      <c r="D16" t="s">
        <v>17</v>
      </c>
      <c r="E16">
        <v>535032</v>
      </c>
      <c r="F16">
        <v>8.15</v>
      </c>
      <c r="G16">
        <v>240</v>
      </c>
      <c r="H16">
        <v>96111</v>
      </c>
      <c r="I16">
        <v>830</v>
      </c>
      <c r="J16" t="s">
        <v>26</v>
      </c>
      <c r="K16">
        <v>24.5</v>
      </c>
      <c r="L16">
        <v>9.4</v>
      </c>
      <c r="M16" t="s">
        <v>23</v>
      </c>
      <c r="N16">
        <v>44460</v>
      </c>
    </row>
    <row r="17" spans="1:14" x14ac:dyDescent="0.35">
      <c r="A17" t="s">
        <v>50</v>
      </c>
      <c r="B17" t="s">
        <v>30</v>
      </c>
      <c r="C17" t="s">
        <v>16</v>
      </c>
      <c r="D17" t="s">
        <v>45</v>
      </c>
      <c r="E17">
        <v>744180</v>
      </c>
      <c r="F17">
        <v>5.86</v>
      </c>
      <c r="G17">
        <v>240</v>
      </c>
      <c r="H17">
        <v>133058</v>
      </c>
      <c r="I17">
        <v>676</v>
      </c>
      <c r="J17" t="s">
        <v>39</v>
      </c>
      <c r="K17">
        <v>2.4</v>
      </c>
      <c r="L17">
        <v>27.9</v>
      </c>
      <c r="M17" t="s">
        <v>23</v>
      </c>
      <c r="N17">
        <v>44718</v>
      </c>
    </row>
    <row r="18" spans="1:14" x14ac:dyDescent="0.35">
      <c r="A18" t="s">
        <v>51</v>
      </c>
      <c r="B18" t="s">
        <v>30</v>
      </c>
      <c r="C18" t="s">
        <v>16</v>
      </c>
      <c r="D18" t="s">
        <v>52</v>
      </c>
      <c r="E18">
        <v>440633</v>
      </c>
      <c r="F18">
        <v>11.17</v>
      </c>
      <c r="G18">
        <v>48</v>
      </c>
      <c r="H18">
        <v>121715</v>
      </c>
      <c r="I18">
        <v>597</v>
      </c>
      <c r="J18" t="s">
        <v>39</v>
      </c>
      <c r="K18">
        <v>7.6</v>
      </c>
      <c r="L18">
        <v>14.2</v>
      </c>
      <c r="M18" t="s">
        <v>23</v>
      </c>
      <c r="N18">
        <v>45159</v>
      </c>
    </row>
    <row r="19" spans="1:14" x14ac:dyDescent="0.35">
      <c r="A19" t="s">
        <v>53</v>
      </c>
      <c r="B19" t="s">
        <v>15</v>
      </c>
      <c r="C19" t="s">
        <v>22</v>
      </c>
      <c r="D19" t="s">
        <v>45</v>
      </c>
      <c r="E19">
        <v>680159</v>
      </c>
      <c r="F19">
        <v>12.43</v>
      </c>
      <c r="G19">
        <v>36</v>
      </c>
      <c r="H19">
        <v>78733</v>
      </c>
      <c r="I19">
        <v>676</v>
      </c>
      <c r="J19" t="s">
        <v>18</v>
      </c>
      <c r="K19">
        <v>16</v>
      </c>
      <c r="L19">
        <v>15.3</v>
      </c>
      <c r="M19" t="s">
        <v>23</v>
      </c>
      <c r="N19">
        <v>44979</v>
      </c>
    </row>
    <row r="20" spans="1:14" x14ac:dyDescent="0.35">
      <c r="A20" t="s">
        <v>54</v>
      </c>
      <c r="B20" t="s">
        <v>15</v>
      </c>
      <c r="C20" t="s">
        <v>22</v>
      </c>
      <c r="D20" t="s">
        <v>32</v>
      </c>
      <c r="E20">
        <v>365890</v>
      </c>
      <c r="F20">
        <v>9.3699999999999992</v>
      </c>
      <c r="G20">
        <v>24</v>
      </c>
      <c r="H20">
        <v>62754</v>
      </c>
      <c r="I20">
        <v>580</v>
      </c>
      <c r="J20" t="s">
        <v>26</v>
      </c>
      <c r="K20">
        <v>8.8000000000000007</v>
      </c>
      <c r="L20">
        <v>22.6</v>
      </c>
      <c r="M20" t="s">
        <v>55</v>
      </c>
      <c r="N20">
        <v>45307</v>
      </c>
    </row>
    <row r="21" spans="1:14" x14ac:dyDescent="0.35">
      <c r="A21" t="s">
        <v>56</v>
      </c>
      <c r="B21" t="s">
        <v>30</v>
      </c>
      <c r="C21" t="s">
        <v>22</v>
      </c>
      <c r="D21" t="s">
        <v>38</v>
      </c>
      <c r="E21">
        <v>650194</v>
      </c>
      <c r="F21">
        <v>14.13</v>
      </c>
      <c r="G21">
        <v>60</v>
      </c>
      <c r="H21">
        <v>177696</v>
      </c>
      <c r="I21">
        <v>795</v>
      </c>
      <c r="J21" t="s">
        <v>18</v>
      </c>
      <c r="K21">
        <v>23.2</v>
      </c>
      <c r="L21">
        <v>25.3</v>
      </c>
      <c r="M21" t="s">
        <v>23</v>
      </c>
      <c r="N21">
        <v>44731</v>
      </c>
    </row>
    <row r="22" spans="1:14" x14ac:dyDescent="0.35">
      <c r="A22" t="s">
        <v>57</v>
      </c>
      <c r="B22" t="s">
        <v>28</v>
      </c>
      <c r="C22" t="s">
        <v>34</v>
      </c>
      <c r="D22" t="s">
        <v>32</v>
      </c>
      <c r="E22">
        <v>206260</v>
      </c>
      <c r="F22">
        <v>3.78</v>
      </c>
      <c r="G22">
        <v>48</v>
      </c>
      <c r="H22">
        <v>113886</v>
      </c>
      <c r="I22">
        <v>711</v>
      </c>
      <c r="J22" t="s">
        <v>18</v>
      </c>
      <c r="K22">
        <v>1.6</v>
      </c>
      <c r="L22">
        <v>32.9</v>
      </c>
      <c r="M22" t="s">
        <v>48</v>
      </c>
      <c r="N22">
        <v>44406</v>
      </c>
    </row>
    <row r="23" spans="1:14" x14ac:dyDescent="0.35">
      <c r="A23" t="s">
        <v>58</v>
      </c>
      <c r="B23" t="s">
        <v>30</v>
      </c>
      <c r="C23" t="s">
        <v>22</v>
      </c>
      <c r="D23" t="s">
        <v>17</v>
      </c>
      <c r="E23">
        <v>536885</v>
      </c>
      <c r="F23">
        <v>8.9</v>
      </c>
      <c r="G23">
        <v>36</v>
      </c>
      <c r="H23">
        <v>185753</v>
      </c>
      <c r="I23">
        <v>839</v>
      </c>
      <c r="J23" t="s">
        <v>26</v>
      </c>
      <c r="K23">
        <v>13.7</v>
      </c>
      <c r="L23">
        <v>11</v>
      </c>
      <c r="M23" t="s">
        <v>55</v>
      </c>
      <c r="N23">
        <v>44242</v>
      </c>
    </row>
    <row r="24" spans="1:14" x14ac:dyDescent="0.35">
      <c r="A24" t="s">
        <v>59</v>
      </c>
      <c r="B24" t="s">
        <v>30</v>
      </c>
      <c r="C24" t="s">
        <v>22</v>
      </c>
      <c r="D24" t="s">
        <v>45</v>
      </c>
      <c r="E24">
        <v>435442</v>
      </c>
      <c r="F24">
        <v>11.32</v>
      </c>
      <c r="G24">
        <v>120</v>
      </c>
      <c r="H24">
        <v>117524</v>
      </c>
      <c r="I24">
        <v>704</v>
      </c>
      <c r="J24" t="s">
        <v>18</v>
      </c>
      <c r="K24">
        <v>14.8</v>
      </c>
      <c r="L24">
        <v>28.1</v>
      </c>
      <c r="M24" t="s">
        <v>19</v>
      </c>
      <c r="N24">
        <v>44222</v>
      </c>
    </row>
    <row r="25" spans="1:14" x14ac:dyDescent="0.35">
      <c r="A25" t="s">
        <v>60</v>
      </c>
      <c r="B25" t="s">
        <v>15</v>
      </c>
      <c r="C25" t="s">
        <v>22</v>
      </c>
      <c r="D25" t="s">
        <v>52</v>
      </c>
      <c r="E25">
        <v>208199</v>
      </c>
      <c r="F25">
        <v>12.95</v>
      </c>
      <c r="G25">
        <v>300</v>
      </c>
      <c r="H25">
        <v>109006</v>
      </c>
      <c r="I25">
        <v>661</v>
      </c>
      <c r="J25" t="s">
        <v>18</v>
      </c>
      <c r="K25">
        <v>16.3</v>
      </c>
      <c r="L25">
        <v>15.3</v>
      </c>
      <c r="M25" t="s">
        <v>19</v>
      </c>
      <c r="N25">
        <v>45486</v>
      </c>
    </row>
    <row r="26" spans="1:14" x14ac:dyDescent="0.35">
      <c r="A26" t="s">
        <v>61</v>
      </c>
      <c r="B26" t="s">
        <v>15</v>
      </c>
      <c r="C26" t="s">
        <v>16</v>
      </c>
      <c r="D26" t="s">
        <v>17</v>
      </c>
      <c r="E26">
        <v>381794</v>
      </c>
      <c r="F26">
        <v>5.23</v>
      </c>
      <c r="G26">
        <v>240</v>
      </c>
      <c r="H26">
        <v>52704</v>
      </c>
      <c r="I26">
        <v>750</v>
      </c>
      <c r="J26" t="s">
        <v>18</v>
      </c>
      <c r="K26">
        <v>6.4</v>
      </c>
      <c r="L26">
        <v>31</v>
      </c>
      <c r="M26" t="s">
        <v>19</v>
      </c>
      <c r="N26">
        <v>44371</v>
      </c>
    </row>
    <row r="27" spans="1:14" x14ac:dyDescent="0.35">
      <c r="A27" t="s">
        <v>62</v>
      </c>
      <c r="B27" t="s">
        <v>25</v>
      </c>
      <c r="C27" t="s">
        <v>34</v>
      </c>
      <c r="D27" t="s">
        <v>45</v>
      </c>
      <c r="E27">
        <v>489585</v>
      </c>
      <c r="F27">
        <v>12.24</v>
      </c>
      <c r="G27">
        <v>300</v>
      </c>
      <c r="H27">
        <v>122913</v>
      </c>
      <c r="I27">
        <v>638</v>
      </c>
      <c r="J27" t="s">
        <v>26</v>
      </c>
      <c r="K27">
        <v>9.1</v>
      </c>
      <c r="L27">
        <v>33.5</v>
      </c>
      <c r="M27" t="s">
        <v>23</v>
      </c>
      <c r="N27">
        <v>45531</v>
      </c>
    </row>
    <row r="28" spans="1:14" x14ac:dyDescent="0.35">
      <c r="A28" t="s">
        <v>63</v>
      </c>
      <c r="B28" t="s">
        <v>30</v>
      </c>
      <c r="C28" t="s">
        <v>22</v>
      </c>
      <c r="D28" t="s">
        <v>17</v>
      </c>
      <c r="E28">
        <v>737722</v>
      </c>
      <c r="F28">
        <v>9.4499999999999993</v>
      </c>
      <c r="G28">
        <v>36</v>
      </c>
      <c r="H28">
        <v>122108</v>
      </c>
      <c r="I28">
        <v>611</v>
      </c>
      <c r="J28" t="s">
        <v>26</v>
      </c>
      <c r="K28">
        <v>21.1</v>
      </c>
      <c r="L28">
        <v>30.3</v>
      </c>
      <c r="M28" t="s">
        <v>19</v>
      </c>
      <c r="N28">
        <v>44518</v>
      </c>
    </row>
    <row r="29" spans="1:14" x14ac:dyDescent="0.35">
      <c r="A29" t="s">
        <v>64</v>
      </c>
      <c r="B29" t="s">
        <v>15</v>
      </c>
      <c r="C29" t="s">
        <v>22</v>
      </c>
      <c r="D29" t="s">
        <v>32</v>
      </c>
      <c r="E29">
        <v>686777</v>
      </c>
      <c r="F29">
        <v>7.68</v>
      </c>
      <c r="G29">
        <v>300</v>
      </c>
      <c r="H29">
        <v>35493</v>
      </c>
      <c r="I29">
        <v>740</v>
      </c>
      <c r="J29" t="s">
        <v>18</v>
      </c>
      <c r="K29">
        <v>4.9000000000000004</v>
      </c>
      <c r="L29">
        <v>37.5</v>
      </c>
      <c r="M29" t="s">
        <v>23</v>
      </c>
      <c r="N29">
        <v>45355</v>
      </c>
    </row>
    <row r="30" spans="1:14" x14ac:dyDescent="0.35">
      <c r="A30" t="s">
        <v>65</v>
      </c>
      <c r="B30" t="s">
        <v>28</v>
      </c>
      <c r="C30" t="s">
        <v>16</v>
      </c>
      <c r="D30" t="s">
        <v>17</v>
      </c>
      <c r="E30">
        <v>477890</v>
      </c>
      <c r="F30">
        <v>4.6900000000000004</v>
      </c>
      <c r="G30">
        <v>24</v>
      </c>
      <c r="H30">
        <v>97639</v>
      </c>
      <c r="I30">
        <v>685</v>
      </c>
      <c r="J30" t="s">
        <v>26</v>
      </c>
      <c r="K30">
        <v>20.7</v>
      </c>
      <c r="L30">
        <v>21.4</v>
      </c>
      <c r="M30" t="s">
        <v>23</v>
      </c>
      <c r="N30">
        <v>44251</v>
      </c>
    </row>
    <row r="31" spans="1:14" x14ac:dyDescent="0.35">
      <c r="A31" t="s">
        <v>66</v>
      </c>
      <c r="B31" t="s">
        <v>30</v>
      </c>
      <c r="C31" t="s">
        <v>22</v>
      </c>
      <c r="D31" t="s">
        <v>32</v>
      </c>
      <c r="E31">
        <v>388100</v>
      </c>
      <c r="F31">
        <v>12.98</v>
      </c>
      <c r="G31">
        <v>24</v>
      </c>
      <c r="H31">
        <v>82383</v>
      </c>
      <c r="I31">
        <v>684</v>
      </c>
      <c r="J31" t="s">
        <v>18</v>
      </c>
      <c r="K31">
        <v>14.1</v>
      </c>
      <c r="L31">
        <v>38.6</v>
      </c>
      <c r="M31" t="s">
        <v>23</v>
      </c>
      <c r="N31">
        <v>45376</v>
      </c>
    </row>
    <row r="32" spans="1:14" x14ac:dyDescent="0.35">
      <c r="A32" t="s">
        <v>67</v>
      </c>
      <c r="B32" t="s">
        <v>28</v>
      </c>
      <c r="C32" t="s">
        <v>22</v>
      </c>
      <c r="D32" t="s">
        <v>38</v>
      </c>
      <c r="E32">
        <v>120598</v>
      </c>
      <c r="F32">
        <v>4.9800000000000004</v>
      </c>
      <c r="G32">
        <v>12</v>
      </c>
      <c r="H32">
        <v>162066</v>
      </c>
      <c r="I32">
        <v>807</v>
      </c>
      <c r="J32" t="s">
        <v>18</v>
      </c>
      <c r="K32">
        <v>19.100000000000001</v>
      </c>
      <c r="L32">
        <v>25.3</v>
      </c>
      <c r="M32" t="s">
        <v>19</v>
      </c>
      <c r="N32">
        <v>44864</v>
      </c>
    </row>
    <row r="33" spans="1:14" x14ac:dyDescent="0.35">
      <c r="A33" t="s">
        <v>68</v>
      </c>
      <c r="B33" t="s">
        <v>30</v>
      </c>
      <c r="C33" t="s">
        <v>22</v>
      </c>
      <c r="D33" t="s">
        <v>17</v>
      </c>
      <c r="E33">
        <v>255100</v>
      </c>
      <c r="F33">
        <v>6.7</v>
      </c>
      <c r="G33">
        <v>48</v>
      </c>
      <c r="H33">
        <v>75234</v>
      </c>
      <c r="I33">
        <v>767</v>
      </c>
      <c r="J33" t="s">
        <v>26</v>
      </c>
      <c r="K33">
        <v>17.8</v>
      </c>
      <c r="L33">
        <v>27.4</v>
      </c>
      <c r="M33" t="s">
        <v>55</v>
      </c>
      <c r="N33">
        <v>44343</v>
      </c>
    </row>
    <row r="34" spans="1:14" x14ac:dyDescent="0.35">
      <c r="A34" t="s">
        <v>69</v>
      </c>
      <c r="B34" t="s">
        <v>30</v>
      </c>
      <c r="C34" t="s">
        <v>22</v>
      </c>
      <c r="D34" t="s">
        <v>45</v>
      </c>
      <c r="E34">
        <v>713521</v>
      </c>
      <c r="F34">
        <v>6.48</v>
      </c>
      <c r="G34">
        <v>12</v>
      </c>
      <c r="H34">
        <v>206363</v>
      </c>
      <c r="I34">
        <v>649</v>
      </c>
      <c r="J34" t="s">
        <v>26</v>
      </c>
      <c r="K34">
        <v>5.2</v>
      </c>
      <c r="L34">
        <v>33.9</v>
      </c>
      <c r="M34" t="s">
        <v>23</v>
      </c>
      <c r="N34">
        <v>44795</v>
      </c>
    </row>
    <row r="35" spans="1:14" x14ac:dyDescent="0.35">
      <c r="A35" t="s">
        <v>70</v>
      </c>
      <c r="B35" t="s">
        <v>71</v>
      </c>
      <c r="C35" t="s">
        <v>22</v>
      </c>
      <c r="D35" t="s">
        <v>38</v>
      </c>
      <c r="E35">
        <v>138241</v>
      </c>
      <c r="F35">
        <v>13.05</v>
      </c>
      <c r="G35">
        <v>300</v>
      </c>
      <c r="H35">
        <v>156674</v>
      </c>
      <c r="I35">
        <v>666</v>
      </c>
      <c r="J35" t="s">
        <v>35</v>
      </c>
      <c r="K35">
        <v>14.2</v>
      </c>
      <c r="L35">
        <v>8.6999999999999993</v>
      </c>
      <c r="M35" t="s">
        <v>55</v>
      </c>
      <c r="N35">
        <v>44216</v>
      </c>
    </row>
    <row r="36" spans="1:14" x14ac:dyDescent="0.35">
      <c r="A36" t="s">
        <v>72</v>
      </c>
      <c r="B36" t="s">
        <v>21</v>
      </c>
      <c r="C36" t="s">
        <v>22</v>
      </c>
      <c r="D36" t="s">
        <v>73</v>
      </c>
      <c r="E36">
        <v>744452</v>
      </c>
      <c r="F36">
        <v>10.8</v>
      </c>
      <c r="G36">
        <v>240</v>
      </c>
      <c r="H36">
        <v>33594</v>
      </c>
      <c r="I36">
        <v>635</v>
      </c>
      <c r="J36" t="s">
        <v>18</v>
      </c>
      <c r="K36">
        <v>21.7</v>
      </c>
      <c r="L36">
        <v>34.200000000000003</v>
      </c>
      <c r="M36" t="s">
        <v>23</v>
      </c>
      <c r="N36">
        <v>45489</v>
      </c>
    </row>
    <row r="37" spans="1:14" x14ac:dyDescent="0.35">
      <c r="A37" t="s">
        <v>74</v>
      </c>
      <c r="B37" t="s">
        <v>25</v>
      </c>
      <c r="C37" t="s">
        <v>22</v>
      </c>
      <c r="D37" t="s">
        <v>17</v>
      </c>
      <c r="E37">
        <v>158124</v>
      </c>
      <c r="F37">
        <v>12.2</v>
      </c>
      <c r="G37">
        <v>36</v>
      </c>
      <c r="H37">
        <v>35371</v>
      </c>
      <c r="I37">
        <v>692</v>
      </c>
      <c r="J37" t="s">
        <v>26</v>
      </c>
      <c r="K37">
        <v>10.8</v>
      </c>
      <c r="L37">
        <v>32.700000000000003</v>
      </c>
      <c r="M37" t="s">
        <v>23</v>
      </c>
      <c r="N37">
        <v>44529</v>
      </c>
    </row>
    <row r="38" spans="1:14" x14ac:dyDescent="0.35">
      <c r="A38" t="s">
        <v>75</v>
      </c>
      <c r="B38" t="s">
        <v>30</v>
      </c>
      <c r="C38" t="s">
        <v>34</v>
      </c>
      <c r="D38" t="s">
        <v>32</v>
      </c>
      <c r="E38">
        <v>470065</v>
      </c>
      <c r="F38">
        <v>6.03</v>
      </c>
      <c r="G38">
        <v>60</v>
      </c>
      <c r="H38">
        <v>75315</v>
      </c>
      <c r="I38">
        <v>592</v>
      </c>
      <c r="J38" t="s">
        <v>18</v>
      </c>
      <c r="K38">
        <v>24.2</v>
      </c>
      <c r="L38">
        <v>20.399999999999999</v>
      </c>
      <c r="M38" t="s">
        <v>23</v>
      </c>
      <c r="N38">
        <v>45103</v>
      </c>
    </row>
    <row r="39" spans="1:14" x14ac:dyDescent="0.35">
      <c r="A39" t="s">
        <v>76</v>
      </c>
      <c r="B39" t="s">
        <v>30</v>
      </c>
      <c r="C39" t="s">
        <v>22</v>
      </c>
      <c r="D39" t="s">
        <v>17</v>
      </c>
      <c r="E39">
        <v>209923</v>
      </c>
      <c r="F39">
        <v>10.26</v>
      </c>
      <c r="G39">
        <v>300</v>
      </c>
      <c r="H39">
        <v>155251</v>
      </c>
      <c r="I39">
        <v>597</v>
      </c>
      <c r="J39" t="s">
        <v>39</v>
      </c>
      <c r="K39">
        <v>11.3</v>
      </c>
      <c r="L39">
        <v>11.4</v>
      </c>
      <c r="M39" t="s">
        <v>23</v>
      </c>
      <c r="N39">
        <v>45140</v>
      </c>
    </row>
    <row r="40" spans="1:14" x14ac:dyDescent="0.35">
      <c r="A40" t="s">
        <v>77</v>
      </c>
      <c r="B40" t="s">
        <v>28</v>
      </c>
      <c r="C40" t="s">
        <v>16</v>
      </c>
      <c r="D40" t="s">
        <v>52</v>
      </c>
      <c r="E40">
        <v>13036</v>
      </c>
      <c r="F40">
        <v>9.66</v>
      </c>
      <c r="G40">
        <v>60</v>
      </c>
      <c r="H40">
        <v>107526</v>
      </c>
      <c r="I40">
        <v>761</v>
      </c>
      <c r="J40" t="s">
        <v>18</v>
      </c>
      <c r="K40">
        <v>3.6</v>
      </c>
      <c r="L40">
        <v>11.6</v>
      </c>
      <c r="M40" t="s">
        <v>23</v>
      </c>
      <c r="N40">
        <v>45107</v>
      </c>
    </row>
    <row r="41" spans="1:14" x14ac:dyDescent="0.35">
      <c r="A41" t="s">
        <v>78</v>
      </c>
      <c r="B41" t="s">
        <v>15</v>
      </c>
      <c r="C41" t="s">
        <v>16</v>
      </c>
      <c r="D41" t="s">
        <v>73</v>
      </c>
      <c r="E41">
        <v>561066</v>
      </c>
      <c r="F41">
        <v>12.61</v>
      </c>
      <c r="G41">
        <v>24</v>
      </c>
      <c r="H41">
        <v>175698</v>
      </c>
      <c r="I41">
        <v>692</v>
      </c>
      <c r="J41" t="s">
        <v>26</v>
      </c>
      <c r="K41">
        <v>9.6999999999999993</v>
      </c>
      <c r="L41">
        <v>44.9</v>
      </c>
      <c r="M41" t="s">
        <v>23</v>
      </c>
      <c r="N41">
        <v>44597</v>
      </c>
    </row>
    <row r="42" spans="1:14" x14ac:dyDescent="0.35">
      <c r="A42" t="s">
        <v>79</v>
      </c>
      <c r="B42" t="s">
        <v>30</v>
      </c>
      <c r="C42" t="s">
        <v>22</v>
      </c>
      <c r="D42" t="s">
        <v>32</v>
      </c>
      <c r="E42">
        <v>159245</v>
      </c>
      <c r="F42">
        <v>13.44</v>
      </c>
      <c r="G42">
        <v>60</v>
      </c>
      <c r="H42">
        <v>114005</v>
      </c>
      <c r="I42">
        <v>808</v>
      </c>
      <c r="J42" t="s">
        <v>18</v>
      </c>
      <c r="K42">
        <v>23.8</v>
      </c>
      <c r="L42">
        <v>35.6</v>
      </c>
      <c r="M42" t="s">
        <v>55</v>
      </c>
      <c r="N42">
        <v>45146</v>
      </c>
    </row>
    <row r="43" spans="1:14" x14ac:dyDescent="0.35">
      <c r="A43" t="s">
        <v>80</v>
      </c>
      <c r="B43" t="s">
        <v>15</v>
      </c>
      <c r="C43" t="s">
        <v>16</v>
      </c>
      <c r="D43" t="s">
        <v>43</v>
      </c>
      <c r="E43">
        <v>690763</v>
      </c>
      <c r="F43">
        <v>3.34</v>
      </c>
      <c r="G43">
        <v>60</v>
      </c>
      <c r="H43">
        <v>133573</v>
      </c>
      <c r="I43">
        <v>750</v>
      </c>
      <c r="J43" t="s">
        <v>18</v>
      </c>
      <c r="K43">
        <v>8</v>
      </c>
      <c r="L43">
        <v>13.1</v>
      </c>
      <c r="M43" t="s">
        <v>23</v>
      </c>
      <c r="N43">
        <v>45526</v>
      </c>
    </row>
    <row r="44" spans="1:14" x14ac:dyDescent="0.35">
      <c r="A44" t="s">
        <v>81</v>
      </c>
      <c r="B44" t="s">
        <v>30</v>
      </c>
      <c r="C44" t="s">
        <v>22</v>
      </c>
      <c r="D44" t="s">
        <v>32</v>
      </c>
      <c r="E44">
        <v>207747</v>
      </c>
      <c r="F44">
        <v>10.82</v>
      </c>
      <c r="G44">
        <v>240</v>
      </c>
      <c r="H44">
        <v>166202</v>
      </c>
      <c r="I44">
        <v>768</v>
      </c>
      <c r="J44" t="s">
        <v>18</v>
      </c>
      <c r="K44">
        <v>21.7</v>
      </c>
      <c r="L44">
        <v>22.3</v>
      </c>
      <c r="M44" t="s">
        <v>23</v>
      </c>
      <c r="N44">
        <v>44224</v>
      </c>
    </row>
    <row r="45" spans="1:14" x14ac:dyDescent="0.35">
      <c r="A45" t="s">
        <v>82</v>
      </c>
      <c r="B45" t="s">
        <v>83</v>
      </c>
      <c r="C45" t="s">
        <v>34</v>
      </c>
      <c r="D45" t="s">
        <v>45</v>
      </c>
      <c r="E45">
        <v>548088</v>
      </c>
      <c r="F45">
        <v>3.79</v>
      </c>
      <c r="G45">
        <v>60</v>
      </c>
      <c r="H45">
        <v>165900</v>
      </c>
      <c r="I45">
        <v>658</v>
      </c>
      <c r="J45" t="s">
        <v>18</v>
      </c>
      <c r="K45">
        <v>22</v>
      </c>
      <c r="L45">
        <v>31.7</v>
      </c>
      <c r="M45" t="s">
        <v>55</v>
      </c>
      <c r="N45">
        <v>44663</v>
      </c>
    </row>
    <row r="46" spans="1:14" x14ac:dyDescent="0.35">
      <c r="A46" t="s">
        <v>84</v>
      </c>
      <c r="B46" t="s">
        <v>30</v>
      </c>
      <c r="C46" t="s">
        <v>22</v>
      </c>
      <c r="D46" t="s">
        <v>17</v>
      </c>
      <c r="E46">
        <v>292516</v>
      </c>
      <c r="F46">
        <v>9.4</v>
      </c>
      <c r="G46">
        <v>300</v>
      </c>
      <c r="H46">
        <v>85514</v>
      </c>
      <c r="I46">
        <v>725</v>
      </c>
      <c r="J46" t="s">
        <v>18</v>
      </c>
      <c r="K46">
        <v>8.8000000000000007</v>
      </c>
      <c r="L46">
        <v>41.4</v>
      </c>
      <c r="M46" t="s">
        <v>19</v>
      </c>
      <c r="N46">
        <v>45480</v>
      </c>
    </row>
    <row r="47" spans="1:14" x14ac:dyDescent="0.35">
      <c r="A47" t="s">
        <v>85</v>
      </c>
      <c r="B47" t="s">
        <v>28</v>
      </c>
      <c r="C47" t="s">
        <v>22</v>
      </c>
      <c r="D47" t="s">
        <v>38</v>
      </c>
      <c r="E47">
        <v>328660</v>
      </c>
      <c r="F47">
        <v>6.45</v>
      </c>
      <c r="G47">
        <v>36</v>
      </c>
      <c r="H47">
        <v>211736</v>
      </c>
      <c r="I47">
        <v>761</v>
      </c>
      <c r="J47" t="s">
        <v>39</v>
      </c>
      <c r="K47">
        <v>2.1</v>
      </c>
      <c r="L47">
        <v>9.6999999999999993</v>
      </c>
      <c r="M47" t="s">
        <v>23</v>
      </c>
      <c r="N47">
        <v>45178</v>
      </c>
    </row>
    <row r="48" spans="1:14" x14ac:dyDescent="0.35">
      <c r="A48" t="s">
        <v>86</v>
      </c>
      <c r="B48" t="s">
        <v>30</v>
      </c>
      <c r="C48" t="s">
        <v>22</v>
      </c>
      <c r="D48" t="s">
        <v>17</v>
      </c>
      <c r="E48">
        <v>338299</v>
      </c>
      <c r="F48">
        <v>6.67</v>
      </c>
      <c r="G48">
        <v>60</v>
      </c>
      <c r="H48">
        <v>176955</v>
      </c>
      <c r="I48">
        <v>829</v>
      </c>
      <c r="J48" t="s">
        <v>18</v>
      </c>
      <c r="K48">
        <v>18.100000000000001</v>
      </c>
      <c r="L48">
        <v>17.5</v>
      </c>
      <c r="M48" t="s">
        <v>23</v>
      </c>
      <c r="N48">
        <v>44297</v>
      </c>
    </row>
    <row r="49" spans="1:14" x14ac:dyDescent="0.35">
      <c r="A49" t="s">
        <v>87</v>
      </c>
      <c r="B49" t="s">
        <v>15</v>
      </c>
      <c r="C49" t="s">
        <v>34</v>
      </c>
      <c r="D49" t="s">
        <v>43</v>
      </c>
      <c r="E49">
        <v>64500</v>
      </c>
      <c r="F49">
        <v>7.19</v>
      </c>
      <c r="G49">
        <v>120</v>
      </c>
      <c r="H49">
        <v>202131</v>
      </c>
      <c r="I49">
        <v>775</v>
      </c>
      <c r="J49" t="s">
        <v>26</v>
      </c>
      <c r="K49">
        <v>7.8</v>
      </c>
      <c r="L49">
        <v>43.6</v>
      </c>
      <c r="M49" t="s">
        <v>55</v>
      </c>
      <c r="N49">
        <v>44747</v>
      </c>
    </row>
    <row r="50" spans="1:14" x14ac:dyDescent="0.35">
      <c r="A50" t="s">
        <v>88</v>
      </c>
      <c r="B50" t="s">
        <v>15</v>
      </c>
      <c r="C50" t="s">
        <v>16</v>
      </c>
      <c r="D50" t="s">
        <v>38</v>
      </c>
      <c r="E50">
        <v>172647</v>
      </c>
      <c r="F50">
        <v>10.220000000000001</v>
      </c>
      <c r="G50">
        <v>60</v>
      </c>
      <c r="H50">
        <v>202004</v>
      </c>
      <c r="I50">
        <v>650</v>
      </c>
      <c r="J50" t="s">
        <v>18</v>
      </c>
      <c r="K50">
        <v>19.600000000000001</v>
      </c>
      <c r="L50">
        <v>8.4</v>
      </c>
      <c r="M50" t="s">
        <v>19</v>
      </c>
      <c r="N50">
        <v>44998</v>
      </c>
    </row>
    <row r="51" spans="1:14" x14ac:dyDescent="0.35">
      <c r="A51" t="s">
        <v>89</v>
      </c>
      <c r="B51" t="s">
        <v>30</v>
      </c>
      <c r="C51" t="s">
        <v>16</v>
      </c>
      <c r="D51" t="s">
        <v>38</v>
      </c>
      <c r="E51">
        <v>241527</v>
      </c>
      <c r="F51">
        <v>6.97</v>
      </c>
      <c r="G51">
        <v>60</v>
      </c>
      <c r="H51">
        <v>103986</v>
      </c>
      <c r="I51">
        <v>827</v>
      </c>
      <c r="J51" t="s">
        <v>18</v>
      </c>
      <c r="K51">
        <v>11.1</v>
      </c>
      <c r="L51">
        <v>16.100000000000001</v>
      </c>
      <c r="M51" t="s">
        <v>23</v>
      </c>
      <c r="N51">
        <v>44549</v>
      </c>
    </row>
    <row r="52" spans="1:14" x14ac:dyDescent="0.35">
      <c r="A52" t="s">
        <v>90</v>
      </c>
      <c r="B52" t="s">
        <v>21</v>
      </c>
      <c r="C52" t="s">
        <v>22</v>
      </c>
      <c r="D52" t="s">
        <v>17</v>
      </c>
      <c r="E52">
        <v>440477</v>
      </c>
      <c r="F52">
        <v>11.48</v>
      </c>
      <c r="G52">
        <v>12</v>
      </c>
      <c r="H52">
        <v>113959</v>
      </c>
      <c r="I52">
        <v>725</v>
      </c>
      <c r="J52" t="s">
        <v>18</v>
      </c>
      <c r="K52">
        <v>12.1</v>
      </c>
      <c r="L52">
        <v>46.4</v>
      </c>
      <c r="M52" t="s">
        <v>23</v>
      </c>
      <c r="N52">
        <v>45520</v>
      </c>
    </row>
    <row r="53" spans="1:14" x14ac:dyDescent="0.35">
      <c r="A53" t="s">
        <v>91</v>
      </c>
      <c r="B53" t="s">
        <v>25</v>
      </c>
      <c r="C53" t="s">
        <v>16</v>
      </c>
      <c r="D53" t="s">
        <v>17</v>
      </c>
      <c r="E53">
        <v>639947</v>
      </c>
      <c r="F53">
        <v>7.77</v>
      </c>
      <c r="G53">
        <v>36</v>
      </c>
      <c r="H53">
        <v>30035</v>
      </c>
      <c r="I53">
        <v>685</v>
      </c>
      <c r="J53" t="s">
        <v>18</v>
      </c>
      <c r="K53">
        <v>19.399999999999999</v>
      </c>
      <c r="L53">
        <v>32.5</v>
      </c>
      <c r="M53" t="s">
        <v>55</v>
      </c>
      <c r="N53">
        <v>44492</v>
      </c>
    </row>
    <row r="54" spans="1:14" x14ac:dyDescent="0.35">
      <c r="A54" t="s">
        <v>92</v>
      </c>
      <c r="B54" t="s">
        <v>71</v>
      </c>
      <c r="C54" t="s">
        <v>22</v>
      </c>
      <c r="D54" t="s">
        <v>17</v>
      </c>
      <c r="E54">
        <v>557004</v>
      </c>
      <c r="F54">
        <v>3.97</v>
      </c>
      <c r="G54">
        <v>300</v>
      </c>
      <c r="H54">
        <v>137767</v>
      </c>
      <c r="I54">
        <v>842</v>
      </c>
      <c r="J54" t="s">
        <v>18</v>
      </c>
      <c r="K54">
        <v>9.6</v>
      </c>
      <c r="L54">
        <v>18.5</v>
      </c>
      <c r="M54" t="s">
        <v>23</v>
      </c>
      <c r="N54">
        <v>44549</v>
      </c>
    </row>
    <row r="55" spans="1:14" x14ac:dyDescent="0.35">
      <c r="A55" t="s">
        <v>93</v>
      </c>
      <c r="B55" t="s">
        <v>83</v>
      </c>
      <c r="C55" t="s">
        <v>34</v>
      </c>
      <c r="D55" t="s">
        <v>17</v>
      </c>
      <c r="E55">
        <v>401452</v>
      </c>
      <c r="F55">
        <v>12.06</v>
      </c>
      <c r="G55">
        <v>24</v>
      </c>
      <c r="H55">
        <v>199817</v>
      </c>
      <c r="I55">
        <v>649</v>
      </c>
      <c r="J55" t="s">
        <v>18</v>
      </c>
      <c r="K55">
        <v>11.1</v>
      </c>
      <c r="L55">
        <v>10.7</v>
      </c>
      <c r="M55" t="s">
        <v>48</v>
      </c>
      <c r="N55">
        <v>45104</v>
      </c>
    </row>
    <row r="56" spans="1:14" x14ac:dyDescent="0.35">
      <c r="A56" t="s">
        <v>94</v>
      </c>
      <c r="B56" t="s">
        <v>28</v>
      </c>
      <c r="C56" t="s">
        <v>22</v>
      </c>
      <c r="D56" t="s">
        <v>17</v>
      </c>
      <c r="E56">
        <v>414064</v>
      </c>
      <c r="F56">
        <v>6.43</v>
      </c>
      <c r="G56">
        <v>12</v>
      </c>
      <c r="H56">
        <v>45241</v>
      </c>
      <c r="I56">
        <v>772</v>
      </c>
      <c r="J56" t="s">
        <v>18</v>
      </c>
      <c r="K56">
        <v>9.4</v>
      </c>
      <c r="L56">
        <v>9.1</v>
      </c>
      <c r="M56" t="s">
        <v>23</v>
      </c>
      <c r="N56">
        <v>45350</v>
      </c>
    </row>
    <row r="57" spans="1:14" x14ac:dyDescent="0.35">
      <c r="A57" t="s">
        <v>95</v>
      </c>
      <c r="B57" t="s">
        <v>71</v>
      </c>
      <c r="C57" t="s">
        <v>22</v>
      </c>
      <c r="D57" t="s">
        <v>73</v>
      </c>
      <c r="E57">
        <v>7352</v>
      </c>
      <c r="F57">
        <v>8.09</v>
      </c>
      <c r="G57">
        <v>300</v>
      </c>
      <c r="H57">
        <v>80975</v>
      </c>
      <c r="I57">
        <v>647</v>
      </c>
      <c r="J57" t="s">
        <v>18</v>
      </c>
      <c r="K57">
        <v>9.1999999999999993</v>
      </c>
      <c r="L57">
        <v>17.8</v>
      </c>
      <c r="M57" t="s">
        <v>19</v>
      </c>
      <c r="N57">
        <v>45215</v>
      </c>
    </row>
    <row r="58" spans="1:14" x14ac:dyDescent="0.35">
      <c r="A58" t="s">
        <v>96</v>
      </c>
      <c r="B58" t="s">
        <v>30</v>
      </c>
      <c r="C58" t="s">
        <v>22</v>
      </c>
      <c r="D58" t="s">
        <v>32</v>
      </c>
      <c r="E58">
        <v>138004</v>
      </c>
      <c r="F58">
        <v>10.95</v>
      </c>
      <c r="G58">
        <v>48</v>
      </c>
      <c r="H58">
        <v>182226</v>
      </c>
      <c r="I58">
        <v>631</v>
      </c>
      <c r="J58" t="s">
        <v>18</v>
      </c>
      <c r="K58">
        <v>13.1</v>
      </c>
      <c r="L58">
        <v>43.3</v>
      </c>
      <c r="M58" t="s">
        <v>23</v>
      </c>
      <c r="N58">
        <v>45376</v>
      </c>
    </row>
    <row r="59" spans="1:14" x14ac:dyDescent="0.35">
      <c r="A59" t="s">
        <v>97</v>
      </c>
      <c r="B59" t="s">
        <v>30</v>
      </c>
      <c r="C59" t="s">
        <v>22</v>
      </c>
      <c r="D59" t="s">
        <v>17</v>
      </c>
      <c r="E59">
        <v>537844</v>
      </c>
      <c r="F59">
        <v>6.96</v>
      </c>
      <c r="G59">
        <v>36</v>
      </c>
      <c r="H59">
        <v>184697</v>
      </c>
      <c r="I59">
        <v>588</v>
      </c>
      <c r="J59" t="s">
        <v>18</v>
      </c>
      <c r="K59">
        <v>20.2</v>
      </c>
      <c r="L59">
        <v>24.6</v>
      </c>
      <c r="M59" t="s">
        <v>23</v>
      </c>
      <c r="N59">
        <v>45294</v>
      </c>
    </row>
    <row r="60" spans="1:14" x14ac:dyDescent="0.35">
      <c r="A60" t="s">
        <v>98</v>
      </c>
      <c r="B60" t="s">
        <v>30</v>
      </c>
      <c r="C60" t="s">
        <v>16</v>
      </c>
      <c r="D60" t="s">
        <v>32</v>
      </c>
      <c r="E60">
        <v>353980</v>
      </c>
      <c r="F60">
        <v>3.84</v>
      </c>
      <c r="G60">
        <v>120</v>
      </c>
      <c r="H60">
        <v>204022</v>
      </c>
      <c r="I60">
        <v>830</v>
      </c>
      <c r="J60" t="s">
        <v>18</v>
      </c>
      <c r="K60">
        <v>9</v>
      </c>
      <c r="L60">
        <v>36.799999999999997</v>
      </c>
      <c r="M60" t="s">
        <v>55</v>
      </c>
      <c r="N60">
        <v>45562</v>
      </c>
    </row>
    <row r="61" spans="1:14" x14ac:dyDescent="0.35">
      <c r="A61" t="s">
        <v>99</v>
      </c>
      <c r="B61" t="s">
        <v>30</v>
      </c>
      <c r="C61" t="s">
        <v>22</v>
      </c>
      <c r="D61" t="s">
        <v>32</v>
      </c>
      <c r="E61">
        <v>665858</v>
      </c>
      <c r="F61">
        <v>7.43</v>
      </c>
      <c r="G61">
        <v>36</v>
      </c>
      <c r="H61">
        <v>84396</v>
      </c>
      <c r="I61">
        <v>763</v>
      </c>
      <c r="J61" t="s">
        <v>39</v>
      </c>
      <c r="K61">
        <v>13.1</v>
      </c>
      <c r="L61">
        <v>44.7</v>
      </c>
      <c r="M61" t="s">
        <v>23</v>
      </c>
      <c r="N61">
        <v>45310</v>
      </c>
    </row>
    <row r="62" spans="1:14" x14ac:dyDescent="0.35">
      <c r="A62" t="s">
        <v>100</v>
      </c>
      <c r="B62" t="s">
        <v>15</v>
      </c>
      <c r="C62" t="s">
        <v>16</v>
      </c>
      <c r="D62" t="s">
        <v>45</v>
      </c>
      <c r="E62">
        <v>736478</v>
      </c>
      <c r="F62">
        <v>13.87</v>
      </c>
      <c r="G62">
        <v>48</v>
      </c>
      <c r="H62">
        <v>146920</v>
      </c>
      <c r="I62">
        <v>758</v>
      </c>
      <c r="J62" t="s">
        <v>39</v>
      </c>
      <c r="K62">
        <v>16.8</v>
      </c>
      <c r="L62">
        <v>24.3</v>
      </c>
      <c r="M62" t="s">
        <v>19</v>
      </c>
      <c r="N62">
        <v>44651</v>
      </c>
    </row>
    <row r="63" spans="1:14" x14ac:dyDescent="0.35">
      <c r="A63" t="s">
        <v>101</v>
      </c>
      <c r="B63" t="s">
        <v>30</v>
      </c>
      <c r="C63" t="s">
        <v>22</v>
      </c>
      <c r="D63" t="s">
        <v>32</v>
      </c>
      <c r="E63">
        <v>55098</v>
      </c>
      <c r="F63">
        <v>10.45</v>
      </c>
      <c r="G63">
        <v>48</v>
      </c>
      <c r="H63">
        <v>172403</v>
      </c>
      <c r="I63">
        <v>777</v>
      </c>
      <c r="J63" t="s">
        <v>26</v>
      </c>
      <c r="K63">
        <v>6.7</v>
      </c>
      <c r="L63">
        <v>15.7</v>
      </c>
      <c r="M63" t="s">
        <v>23</v>
      </c>
      <c r="N63">
        <v>44908</v>
      </c>
    </row>
    <row r="64" spans="1:14" x14ac:dyDescent="0.35">
      <c r="A64" t="s">
        <v>102</v>
      </c>
      <c r="B64" t="s">
        <v>25</v>
      </c>
      <c r="C64" t="s">
        <v>16</v>
      </c>
      <c r="D64" t="s">
        <v>73</v>
      </c>
      <c r="E64">
        <v>379313</v>
      </c>
      <c r="F64">
        <v>10.79</v>
      </c>
      <c r="G64">
        <v>48</v>
      </c>
      <c r="H64">
        <v>114226</v>
      </c>
      <c r="I64">
        <v>707</v>
      </c>
      <c r="J64" t="s">
        <v>18</v>
      </c>
      <c r="K64">
        <v>6.9</v>
      </c>
      <c r="L64">
        <v>28.7</v>
      </c>
      <c r="M64" t="s">
        <v>23</v>
      </c>
      <c r="N64">
        <v>45176</v>
      </c>
    </row>
    <row r="65" spans="1:14" x14ac:dyDescent="0.35">
      <c r="A65" t="s">
        <v>103</v>
      </c>
      <c r="B65" t="s">
        <v>30</v>
      </c>
      <c r="C65" t="s">
        <v>22</v>
      </c>
      <c r="D65" t="s">
        <v>32</v>
      </c>
      <c r="E65">
        <v>669929</v>
      </c>
      <c r="F65">
        <v>10.34</v>
      </c>
      <c r="G65">
        <v>240</v>
      </c>
      <c r="H65">
        <v>112719</v>
      </c>
      <c r="I65">
        <v>599</v>
      </c>
      <c r="J65" t="s">
        <v>26</v>
      </c>
      <c r="K65">
        <v>23.3</v>
      </c>
      <c r="L65">
        <v>44.3</v>
      </c>
      <c r="M65" t="s">
        <v>23</v>
      </c>
      <c r="N65">
        <v>45552</v>
      </c>
    </row>
    <row r="66" spans="1:14" x14ac:dyDescent="0.35">
      <c r="A66" t="s">
        <v>104</v>
      </c>
      <c r="B66" t="s">
        <v>30</v>
      </c>
      <c r="C66" t="s">
        <v>22</v>
      </c>
      <c r="D66" t="s">
        <v>52</v>
      </c>
      <c r="E66">
        <v>252199</v>
      </c>
      <c r="F66">
        <v>5.45</v>
      </c>
      <c r="G66">
        <v>24</v>
      </c>
      <c r="H66">
        <v>91014</v>
      </c>
      <c r="I66">
        <v>644</v>
      </c>
      <c r="J66" t="s">
        <v>26</v>
      </c>
      <c r="K66">
        <v>18.100000000000001</v>
      </c>
      <c r="L66">
        <v>40.200000000000003</v>
      </c>
      <c r="M66" t="s">
        <v>19</v>
      </c>
      <c r="N66">
        <v>44935</v>
      </c>
    </row>
    <row r="67" spans="1:14" x14ac:dyDescent="0.35">
      <c r="A67" t="s">
        <v>105</v>
      </c>
      <c r="B67" t="s">
        <v>15</v>
      </c>
      <c r="C67" t="s">
        <v>16</v>
      </c>
      <c r="D67" t="s">
        <v>43</v>
      </c>
      <c r="E67">
        <v>131060</v>
      </c>
      <c r="F67">
        <v>7.93</v>
      </c>
      <c r="G67">
        <v>60</v>
      </c>
      <c r="H67">
        <v>67346</v>
      </c>
      <c r="I67">
        <v>761</v>
      </c>
      <c r="J67" t="s">
        <v>26</v>
      </c>
      <c r="K67">
        <v>14.4</v>
      </c>
      <c r="L67">
        <v>10.6</v>
      </c>
      <c r="M67" t="s">
        <v>23</v>
      </c>
      <c r="N67">
        <v>45173</v>
      </c>
    </row>
    <row r="68" spans="1:14" x14ac:dyDescent="0.35">
      <c r="A68" t="s">
        <v>106</v>
      </c>
      <c r="B68" t="s">
        <v>30</v>
      </c>
      <c r="C68" t="s">
        <v>22</v>
      </c>
      <c r="D68" t="s">
        <v>17</v>
      </c>
      <c r="E68">
        <v>192954</v>
      </c>
      <c r="F68">
        <v>11.69</v>
      </c>
      <c r="G68">
        <v>36</v>
      </c>
      <c r="H68">
        <v>98411</v>
      </c>
      <c r="I68">
        <v>820</v>
      </c>
      <c r="J68" t="s">
        <v>18</v>
      </c>
      <c r="K68">
        <v>16.2</v>
      </c>
      <c r="L68">
        <v>35.700000000000003</v>
      </c>
      <c r="M68" t="s">
        <v>23</v>
      </c>
      <c r="N68">
        <v>45568</v>
      </c>
    </row>
    <row r="69" spans="1:14" x14ac:dyDescent="0.35">
      <c r="A69" t="s">
        <v>107</v>
      </c>
      <c r="B69" t="s">
        <v>25</v>
      </c>
      <c r="C69" t="s">
        <v>22</v>
      </c>
      <c r="D69" t="s">
        <v>73</v>
      </c>
      <c r="E69">
        <v>730753</v>
      </c>
      <c r="F69">
        <v>4.3499999999999996</v>
      </c>
      <c r="G69">
        <v>300</v>
      </c>
      <c r="H69">
        <v>213550</v>
      </c>
      <c r="I69">
        <v>603</v>
      </c>
      <c r="J69" t="s">
        <v>26</v>
      </c>
      <c r="K69">
        <v>0.7</v>
      </c>
      <c r="L69">
        <v>30.9</v>
      </c>
      <c r="M69" t="s">
        <v>23</v>
      </c>
      <c r="N69">
        <v>44429</v>
      </c>
    </row>
    <row r="70" spans="1:14" x14ac:dyDescent="0.35">
      <c r="A70" t="s">
        <v>108</v>
      </c>
      <c r="B70" t="s">
        <v>30</v>
      </c>
      <c r="C70" t="s">
        <v>34</v>
      </c>
      <c r="D70" t="s">
        <v>17</v>
      </c>
      <c r="E70">
        <v>135544</v>
      </c>
      <c r="F70">
        <v>6.34</v>
      </c>
      <c r="G70">
        <v>240</v>
      </c>
      <c r="H70">
        <v>171326</v>
      </c>
      <c r="I70">
        <v>662</v>
      </c>
      <c r="J70" t="s">
        <v>26</v>
      </c>
      <c r="K70">
        <v>15.5</v>
      </c>
      <c r="L70">
        <v>44.3</v>
      </c>
      <c r="M70" t="s">
        <v>19</v>
      </c>
      <c r="N70">
        <v>45220</v>
      </c>
    </row>
    <row r="71" spans="1:14" x14ac:dyDescent="0.35">
      <c r="A71" t="s">
        <v>109</v>
      </c>
      <c r="B71" t="s">
        <v>110</v>
      </c>
      <c r="C71" t="s">
        <v>34</v>
      </c>
      <c r="D71" t="s">
        <v>38</v>
      </c>
      <c r="E71">
        <v>529628</v>
      </c>
      <c r="F71">
        <v>6.32</v>
      </c>
      <c r="G71">
        <v>300</v>
      </c>
      <c r="H71">
        <v>214806</v>
      </c>
      <c r="I71">
        <v>764</v>
      </c>
      <c r="J71" t="s">
        <v>18</v>
      </c>
      <c r="K71">
        <v>12.7</v>
      </c>
      <c r="L71">
        <v>12.9</v>
      </c>
      <c r="M71" t="s">
        <v>19</v>
      </c>
      <c r="N71">
        <v>44298</v>
      </c>
    </row>
    <row r="72" spans="1:14" x14ac:dyDescent="0.35">
      <c r="A72" t="s">
        <v>111</v>
      </c>
      <c r="B72" t="s">
        <v>25</v>
      </c>
      <c r="C72" t="s">
        <v>22</v>
      </c>
      <c r="D72" t="s">
        <v>32</v>
      </c>
      <c r="E72">
        <v>704309</v>
      </c>
      <c r="F72">
        <v>8.08</v>
      </c>
      <c r="G72">
        <v>60</v>
      </c>
      <c r="H72">
        <v>187693</v>
      </c>
      <c r="I72">
        <v>678</v>
      </c>
      <c r="J72" t="s">
        <v>26</v>
      </c>
      <c r="K72">
        <v>13.6</v>
      </c>
      <c r="L72">
        <v>29.4</v>
      </c>
      <c r="M72" t="s">
        <v>23</v>
      </c>
      <c r="N72">
        <v>45149</v>
      </c>
    </row>
    <row r="73" spans="1:14" x14ac:dyDescent="0.35">
      <c r="A73" t="s">
        <v>112</v>
      </c>
      <c r="B73" t="s">
        <v>30</v>
      </c>
      <c r="C73" t="s">
        <v>22</v>
      </c>
      <c r="D73" t="s">
        <v>43</v>
      </c>
      <c r="E73">
        <v>611590</v>
      </c>
      <c r="F73">
        <v>14.28</v>
      </c>
      <c r="G73">
        <v>60</v>
      </c>
      <c r="H73">
        <v>104441</v>
      </c>
      <c r="I73">
        <v>641</v>
      </c>
      <c r="J73" t="s">
        <v>18</v>
      </c>
      <c r="K73">
        <v>9</v>
      </c>
      <c r="L73">
        <v>43.2</v>
      </c>
      <c r="M73" t="s">
        <v>23</v>
      </c>
      <c r="N73">
        <v>44677</v>
      </c>
    </row>
    <row r="74" spans="1:14" x14ac:dyDescent="0.35">
      <c r="A74" t="s">
        <v>113</v>
      </c>
      <c r="B74" t="s">
        <v>30</v>
      </c>
      <c r="C74" t="s">
        <v>16</v>
      </c>
      <c r="D74" t="s">
        <v>43</v>
      </c>
      <c r="E74">
        <v>472243</v>
      </c>
      <c r="F74">
        <v>3.96</v>
      </c>
      <c r="G74">
        <v>120</v>
      </c>
      <c r="H74">
        <v>74121</v>
      </c>
      <c r="I74">
        <v>601</v>
      </c>
      <c r="J74" t="s">
        <v>18</v>
      </c>
      <c r="K74">
        <v>2</v>
      </c>
      <c r="L74">
        <v>24.4</v>
      </c>
      <c r="M74" t="s">
        <v>48</v>
      </c>
      <c r="N74">
        <v>45434</v>
      </c>
    </row>
    <row r="75" spans="1:14" x14ac:dyDescent="0.35">
      <c r="A75" t="s">
        <v>114</v>
      </c>
      <c r="B75" t="s">
        <v>25</v>
      </c>
      <c r="C75" t="s">
        <v>22</v>
      </c>
      <c r="D75" t="s">
        <v>38</v>
      </c>
      <c r="E75">
        <v>529426</v>
      </c>
      <c r="F75">
        <v>9.06</v>
      </c>
      <c r="G75">
        <v>48</v>
      </c>
      <c r="H75">
        <v>88197</v>
      </c>
      <c r="I75">
        <v>791</v>
      </c>
      <c r="J75" t="s">
        <v>18</v>
      </c>
      <c r="K75">
        <v>4.8</v>
      </c>
      <c r="L75">
        <v>27.3</v>
      </c>
      <c r="M75" t="s">
        <v>23</v>
      </c>
      <c r="N75">
        <v>44304</v>
      </c>
    </row>
    <row r="76" spans="1:14" x14ac:dyDescent="0.35">
      <c r="A76" t="s">
        <v>115</v>
      </c>
      <c r="B76" t="s">
        <v>28</v>
      </c>
      <c r="C76" t="s">
        <v>22</v>
      </c>
      <c r="D76" t="s">
        <v>38</v>
      </c>
      <c r="E76">
        <v>398574</v>
      </c>
      <c r="F76">
        <v>5.23</v>
      </c>
      <c r="G76">
        <v>24</v>
      </c>
      <c r="H76">
        <v>112577</v>
      </c>
      <c r="I76">
        <v>705</v>
      </c>
      <c r="J76" t="s">
        <v>26</v>
      </c>
      <c r="K76">
        <v>23.8</v>
      </c>
      <c r="L76">
        <v>10.8</v>
      </c>
      <c r="M76" t="s">
        <v>55</v>
      </c>
      <c r="N76">
        <v>45385</v>
      </c>
    </row>
    <row r="77" spans="1:14" x14ac:dyDescent="0.35">
      <c r="A77" t="s">
        <v>116</v>
      </c>
      <c r="B77" t="s">
        <v>28</v>
      </c>
      <c r="C77" t="s">
        <v>22</v>
      </c>
      <c r="D77" t="s">
        <v>17</v>
      </c>
      <c r="E77">
        <v>648907</v>
      </c>
      <c r="F77">
        <v>14.17</v>
      </c>
      <c r="G77">
        <v>120</v>
      </c>
      <c r="H77">
        <v>122634</v>
      </c>
      <c r="I77">
        <v>621</v>
      </c>
      <c r="J77" t="s">
        <v>18</v>
      </c>
      <c r="K77">
        <v>10.199999999999999</v>
      </c>
      <c r="L77">
        <v>19.100000000000001</v>
      </c>
      <c r="M77" t="s">
        <v>55</v>
      </c>
      <c r="N77">
        <v>45169</v>
      </c>
    </row>
    <row r="78" spans="1:14" x14ac:dyDescent="0.35">
      <c r="A78" t="s">
        <v>117</v>
      </c>
      <c r="B78" t="s">
        <v>25</v>
      </c>
      <c r="C78" t="s">
        <v>16</v>
      </c>
      <c r="D78" t="s">
        <v>17</v>
      </c>
      <c r="E78">
        <v>473466</v>
      </c>
      <c r="F78">
        <v>4.4800000000000004</v>
      </c>
      <c r="G78">
        <v>12</v>
      </c>
      <c r="H78">
        <v>201503</v>
      </c>
      <c r="I78">
        <v>677</v>
      </c>
      <c r="J78" t="s">
        <v>18</v>
      </c>
      <c r="K78">
        <v>11.7</v>
      </c>
      <c r="L78">
        <v>21</v>
      </c>
      <c r="M78" t="s">
        <v>19</v>
      </c>
      <c r="N78">
        <v>44900</v>
      </c>
    </row>
    <row r="79" spans="1:14" x14ac:dyDescent="0.35">
      <c r="A79" t="s">
        <v>118</v>
      </c>
      <c r="B79" t="s">
        <v>30</v>
      </c>
      <c r="C79" t="s">
        <v>16</v>
      </c>
      <c r="D79" t="s">
        <v>32</v>
      </c>
      <c r="E79">
        <v>629219</v>
      </c>
      <c r="F79">
        <v>7.76</v>
      </c>
      <c r="G79">
        <v>240</v>
      </c>
      <c r="H79">
        <v>128211</v>
      </c>
      <c r="I79">
        <v>610</v>
      </c>
      <c r="J79" t="s">
        <v>18</v>
      </c>
      <c r="K79">
        <v>1.3</v>
      </c>
      <c r="L79">
        <v>45.8</v>
      </c>
      <c r="M79" t="s">
        <v>23</v>
      </c>
      <c r="N79">
        <v>44531</v>
      </c>
    </row>
    <row r="80" spans="1:14" x14ac:dyDescent="0.35">
      <c r="A80" t="s">
        <v>119</v>
      </c>
      <c r="B80" t="s">
        <v>30</v>
      </c>
      <c r="C80" t="s">
        <v>22</v>
      </c>
      <c r="D80" t="s">
        <v>17</v>
      </c>
      <c r="E80">
        <v>161951</v>
      </c>
      <c r="F80">
        <v>11.54</v>
      </c>
      <c r="G80">
        <v>240</v>
      </c>
      <c r="H80">
        <v>163909</v>
      </c>
      <c r="I80">
        <v>737</v>
      </c>
      <c r="J80" t="s">
        <v>18</v>
      </c>
      <c r="K80">
        <v>0.9</v>
      </c>
      <c r="L80">
        <v>19.3</v>
      </c>
      <c r="M80" t="s">
        <v>55</v>
      </c>
      <c r="N80">
        <v>44282</v>
      </c>
    </row>
    <row r="81" spans="1:14" x14ac:dyDescent="0.35">
      <c r="A81" t="s">
        <v>120</v>
      </c>
      <c r="B81" t="s">
        <v>30</v>
      </c>
      <c r="C81" t="s">
        <v>22</v>
      </c>
      <c r="D81" t="s">
        <v>45</v>
      </c>
      <c r="E81">
        <v>567060</v>
      </c>
      <c r="F81">
        <v>11.16</v>
      </c>
      <c r="G81">
        <v>24</v>
      </c>
      <c r="H81">
        <v>208066</v>
      </c>
      <c r="I81">
        <v>691</v>
      </c>
      <c r="J81" t="s">
        <v>18</v>
      </c>
      <c r="K81">
        <v>17.899999999999999</v>
      </c>
      <c r="L81">
        <v>26.4</v>
      </c>
      <c r="M81" t="s">
        <v>19</v>
      </c>
      <c r="N81">
        <v>44930</v>
      </c>
    </row>
    <row r="82" spans="1:14" x14ac:dyDescent="0.35">
      <c r="A82" t="s">
        <v>121</v>
      </c>
      <c r="B82" t="s">
        <v>37</v>
      </c>
      <c r="C82" t="s">
        <v>22</v>
      </c>
      <c r="D82" t="s">
        <v>17</v>
      </c>
      <c r="E82">
        <v>63478</v>
      </c>
      <c r="F82">
        <v>7.98</v>
      </c>
      <c r="G82">
        <v>60</v>
      </c>
      <c r="H82">
        <v>171687</v>
      </c>
      <c r="I82">
        <v>826</v>
      </c>
      <c r="J82" t="s">
        <v>26</v>
      </c>
      <c r="K82">
        <v>13.5</v>
      </c>
      <c r="L82">
        <v>34.9</v>
      </c>
      <c r="M82" t="s">
        <v>19</v>
      </c>
      <c r="N82">
        <v>45071</v>
      </c>
    </row>
    <row r="83" spans="1:14" x14ac:dyDescent="0.35">
      <c r="A83" t="s">
        <v>122</v>
      </c>
      <c r="B83" t="s">
        <v>28</v>
      </c>
      <c r="C83" t="s">
        <v>16</v>
      </c>
      <c r="D83" t="s">
        <v>52</v>
      </c>
      <c r="E83">
        <v>462569</v>
      </c>
      <c r="F83">
        <v>7.12</v>
      </c>
      <c r="G83">
        <v>300</v>
      </c>
      <c r="H83">
        <v>29466</v>
      </c>
      <c r="I83">
        <v>701</v>
      </c>
      <c r="J83" t="s">
        <v>26</v>
      </c>
      <c r="K83">
        <v>12.7</v>
      </c>
      <c r="L83">
        <v>14.5</v>
      </c>
      <c r="M83" t="s">
        <v>23</v>
      </c>
      <c r="N83">
        <v>45644</v>
      </c>
    </row>
    <row r="84" spans="1:14" x14ac:dyDescent="0.35">
      <c r="A84" t="s">
        <v>123</v>
      </c>
      <c r="B84" t="s">
        <v>30</v>
      </c>
      <c r="C84" t="s">
        <v>22</v>
      </c>
      <c r="D84" t="s">
        <v>45</v>
      </c>
      <c r="E84">
        <v>556050</v>
      </c>
      <c r="F84">
        <v>7.69</v>
      </c>
      <c r="G84">
        <v>240</v>
      </c>
      <c r="H84">
        <v>58771</v>
      </c>
      <c r="I84">
        <v>786</v>
      </c>
      <c r="J84" t="s">
        <v>18</v>
      </c>
      <c r="K84">
        <v>6.1</v>
      </c>
      <c r="L84">
        <v>27.5</v>
      </c>
      <c r="M84" t="s">
        <v>23</v>
      </c>
      <c r="N84">
        <v>44560</v>
      </c>
    </row>
    <row r="85" spans="1:14" x14ac:dyDescent="0.35">
      <c r="A85" t="s">
        <v>124</v>
      </c>
      <c r="B85" t="s">
        <v>30</v>
      </c>
      <c r="C85" t="s">
        <v>22</v>
      </c>
      <c r="D85" t="s">
        <v>43</v>
      </c>
      <c r="E85">
        <v>149355</v>
      </c>
      <c r="F85">
        <v>6.19</v>
      </c>
      <c r="G85">
        <v>24</v>
      </c>
      <c r="H85">
        <v>111886</v>
      </c>
      <c r="I85">
        <v>689</v>
      </c>
      <c r="J85" t="s">
        <v>18</v>
      </c>
      <c r="K85">
        <v>18.600000000000001</v>
      </c>
      <c r="L85">
        <v>37.5</v>
      </c>
      <c r="M85" t="s">
        <v>23</v>
      </c>
      <c r="N85">
        <v>44256</v>
      </c>
    </row>
    <row r="86" spans="1:14" x14ac:dyDescent="0.35">
      <c r="A86" t="s">
        <v>125</v>
      </c>
      <c r="B86" t="s">
        <v>30</v>
      </c>
      <c r="C86" t="s">
        <v>16</v>
      </c>
      <c r="D86" t="s">
        <v>17</v>
      </c>
      <c r="E86">
        <v>724282</v>
      </c>
      <c r="F86">
        <v>5.52</v>
      </c>
      <c r="G86">
        <v>240</v>
      </c>
      <c r="H86">
        <v>93911</v>
      </c>
      <c r="I86">
        <v>635</v>
      </c>
      <c r="J86" t="s">
        <v>18</v>
      </c>
      <c r="K86">
        <v>4.2</v>
      </c>
      <c r="L86">
        <v>42.7</v>
      </c>
      <c r="M86" t="s">
        <v>23</v>
      </c>
      <c r="N86">
        <v>45470</v>
      </c>
    </row>
    <row r="87" spans="1:14" x14ac:dyDescent="0.35">
      <c r="A87" t="s">
        <v>126</v>
      </c>
      <c r="B87" t="s">
        <v>30</v>
      </c>
      <c r="C87" t="s">
        <v>22</v>
      </c>
      <c r="D87" t="s">
        <v>43</v>
      </c>
      <c r="E87">
        <v>699780</v>
      </c>
      <c r="F87">
        <v>8.66</v>
      </c>
      <c r="G87">
        <v>240</v>
      </c>
      <c r="H87">
        <v>179818</v>
      </c>
      <c r="I87">
        <v>636</v>
      </c>
      <c r="J87" t="s">
        <v>39</v>
      </c>
      <c r="K87">
        <v>4.7</v>
      </c>
      <c r="L87">
        <v>33.1</v>
      </c>
      <c r="M87" t="s">
        <v>19</v>
      </c>
      <c r="N87">
        <v>44756</v>
      </c>
    </row>
    <row r="88" spans="1:14" x14ac:dyDescent="0.35">
      <c r="A88" t="s">
        <v>127</v>
      </c>
      <c r="B88" t="s">
        <v>28</v>
      </c>
      <c r="C88" t="s">
        <v>16</v>
      </c>
      <c r="D88" t="s">
        <v>73</v>
      </c>
      <c r="E88">
        <v>498671</v>
      </c>
      <c r="F88">
        <v>6.23</v>
      </c>
      <c r="G88">
        <v>48</v>
      </c>
      <c r="H88">
        <v>116422</v>
      </c>
      <c r="I88">
        <v>693</v>
      </c>
      <c r="J88" t="s">
        <v>18</v>
      </c>
      <c r="K88">
        <v>11.5</v>
      </c>
      <c r="L88">
        <v>34.799999999999997</v>
      </c>
      <c r="M88" t="s">
        <v>23</v>
      </c>
      <c r="N88">
        <v>44313</v>
      </c>
    </row>
    <row r="89" spans="1:14" x14ac:dyDescent="0.35">
      <c r="A89" t="s">
        <v>128</v>
      </c>
      <c r="B89" t="s">
        <v>28</v>
      </c>
      <c r="C89" t="s">
        <v>22</v>
      </c>
      <c r="D89" t="s">
        <v>32</v>
      </c>
      <c r="E89">
        <v>604253</v>
      </c>
      <c r="F89">
        <v>6.45</v>
      </c>
      <c r="G89">
        <v>12</v>
      </c>
      <c r="H89">
        <v>219811</v>
      </c>
      <c r="I89">
        <v>777</v>
      </c>
      <c r="J89" t="s">
        <v>18</v>
      </c>
      <c r="K89">
        <v>7.2</v>
      </c>
      <c r="L89">
        <v>13.1</v>
      </c>
      <c r="M89" t="s">
        <v>23</v>
      </c>
      <c r="N89">
        <v>45070</v>
      </c>
    </row>
    <row r="90" spans="1:14" x14ac:dyDescent="0.35">
      <c r="A90" t="s">
        <v>129</v>
      </c>
      <c r="B90" t="s">
        <v>37</v>
      </c>
      <c r="C90" t="s">
        <v>22</v>
      </c>
      <c r="D90" t="s">
        <v>45</v>
      </c>
      <c r="E90">
        <v>182912</v>
      </c>
      <c r="F90">
        <v>10.62</v>
      </c>
      <c r="G90">
        <v>48</v>
      </c>
      <c r="H90">
        <v>101369</v>
      </c>
      <c r="I90">
        <v>758</v>
      </c>
      <c r="J90" t="s">
        <v>18</v>
      </c>
      <c r="K90">
        <v>6.2</v>
      </c>
      <c r="L90">
        <v>45.8</v>
      </c>
      <c r="M90" t="s">
        <v>23</v>
      </c>
      <c r="N90">
        <v>45111</v>
      </c>
    </row>
    <row r="91" spans="1:14" x14ac:dyDescent="0.35">
      <c r="A91" t="s">
        <v>130</v>
      </c>
      <c r="B91" t="s">
        <v>15</v>
      </c>
      <c r="C91" t="s">
        <v>22</v>
      </c>
      <c r="D91" t="s">
        <v>38</v>
      </c>
      <c r="E91">
        <v>180767</v>
      </c>
      <c r="F91">
        <v>14.14</v>
      </c>
      <c r="G91">
        <v>12</v>
      </c>
      <c r="H91">
        <v>29893</v>
      </c>
      <c r="I91">
        <v>798</v>
      </c>
      <c r="J91" t="s">
        <v>26</v>
      </c>
      <c r="K91">
        <v>16.100000000000001</v>
      </c>
      <c r="L91">
        <v>13.3</v>
      </c>
      <c r="M91" t="s">
        <v>19</v>
      </c>
      <c r="N91">
        <v>45164</v>
      </c>
    </row>
    <row r="92" spans="1:14" x14ac:dyDescent="0.35">
      <c r="A92" t="s">
        <v>131</v>
      </c>
      <c r="B92" t="s">
        <v>30</v>
      </c>
      <c r="C92" t="s">
        <v>16</v>
      </c>
      <c r="D92" t="s">
        <v>17</v>
      </c>
      <c r="E92">
        <v>241281</v>
      </c>
      <c r="F92">
        <v>10.02</v>
      </c>
      <c r="G92">
        <v>240</v>
      </c>
      <c r="H92">
        <v>58573</v>
      </c>
      <c r="I92">
        <v>595</v>
      </c>
      <c r="J92" t="s">
        <v>39</v>
      </c>
      <c r="K92">
        <v>16.3</v>
      </c>
      <c r="L92">
        <v>39</v>
      </c>
      <c r="M92" t="s">
        <v>55</v>
      </c>
      <c r="N92">
        <v>45195</v>
      </c>
    </row>
    <row r="93" spans="1:14" x14ac:dyDescent="0.35">
      <c r="A93" t="s">
        <v>132</v>
      </c>
      <c r="B93" t="s">
        <v>28</v>
      </c>
      <c r="C93" t="s">
        <v>34</v>
      </c>
      <c r="D93" t="s">
        <v>32</v>
      </c>
      <c r="E93">
        <v>89754</v>
      </c>
      <c r="F93">
        <v>4.07</v>
      </c>
      <c r="G93">
        <v>120</v>
      </c>
      <c r="H93">
        <v>124907</v>
      </c>
      <c r="I93">
        <v>640</v>
      </c>
      <c r="J93" t="s">
        <v>26</v>
      </c>
      <c r="K93">
        <v>20.6</v>
      </c>
      <c r="L93">
        <v>18.600000000000001</v>
      </c>
      <c r="M93" t="s">
        <v>23</v>
      </c>
      <c r="N93">
        <v>44240</v>
      </c>
    </row>
    <row r="94" spans="1:14" x14ac:dyDescent="0.35">
      <c r="A94" t="s">
        <v>133</v>
      </c>
      <c r="B94" t="s">
        <v>25</v>
      </c>
      <c r="C94" t="s">
        <v>34</v>
      </c>
      <c r="D94" t="s">
        <v>32</v>
      </c>
      <c r="E94">
        <v>607276</v>
      </c>
      <c r="F94">
        <v>4.05</v>
      </c>
      <c r="G94">
        <v>300</v>
      </c>
      <c r="H94">
        <v>199946</v>
      </c>
      <c r="I94">
        <v>633</v>
      </c>
      <c r="J94" t="s">
        <v>26</v>
      </c>
      <c r="K94">
        <v>10.4</v>
      </c>
      <c r="L94">
        <v>45.3</v>
      </c>
      <c r="M94" t="s">
        <v>23</v>
      </c>
      <c r="N94">
        <v>44705</v>
      </c>
    </row>
    <row r="95" spans="1:14" x14ac:dyDescent="0.35">
      <c r="A95" t="s">
        <v>134</v>
      </c>
      <c r="B95" t="s">
        <v>15</v>
      </c>
      <c r="C95" t="s">
        <v>22</v>
      </c>
      <c r="D95" t="s">
        <v>17</v>
      </c>
      <c r="E95">
        <v>456558</v>
      </c>
      <c r="F95">
        <v>13.95</v>
      </c>
      <c r="G95">
        <v>60</v>
      </c>
      <c r="H95">
        <v>127956</v>
      </c>
      <c r="I95">
        <v>747</v>
      </c>
      <c r="J95" t="s">
        <v>18</v>
      </c>
      <c r="K95">
        <v>1.8</v>
      </c>
      <c r="L95">
        <v>36.799999999999997</v>
      </c>
      <c r="M95" t="s">
        <v>23</v>
      </c>
      <c r="N95">
        <v>45385</v>
      </c>
    </row>
    <row r="96" spans="1:14" x14ac:dyDescent="0.35">
      <c r="A96" t="s">
        <v>135</v>
      </c>
      <c r="B96" t="s">
        <v>25</v>
      </c>
      <c r="C96" t="s">
        <v>16</v>
      </c>
      <c r="D96" t="s">
        <v>17</v>
      </c>
      <c r="E96">
        <v>512732</v>
      </c>
      <c r="F96">
        <v>6.56</v>
      </c>
      <c r="G96">
        <v>240</v>
      </c>
      <c r="H96">
        <v>146580</v>
      </c>
      <c r="I96">
        <v>605</v>
      </c>
      <c r="J96" t="s">
        <v>18</v>
      </c>
      <c r="K96">
        <v>6.8</v>
      </c>
      <c r="L96">
        <v>38.200000000000003</v>
      </c>
      <c r="M96" t="s">
        <v>19</v>
      </c>
      <c r="N96">
        <v>45588</v>
      </c>
    </row>
    <row r="97" spans="1:14" x14ac:dyDescent="0.35">
      <c r="A97" t="s">
        <v>136</v>
      </c>
      <c r="B97" t="s">
        <v>15</v>
      </c>
      <c r="C97" t="s">
        <v>22</v>
      </c>
      <c r="D97" t="s">
        <v>17</v>
      </c>
      <c r="E97">
        <v>155023</v>
      </c>
      <c r="F97">
        <v>4.24</v>
      </c>
      <c r="G97">
        <v>12</v>
      </c>
      <c r="H97">
        <v>192439</v>
      </c>
      <c r="I97">
        <v>644</v>
      </c>
      <c r="J97" t="s">
        <v>18</v>
      </c>
      <c r="K97">
        <v>24.5</v>
      </c>
      <c r="L97">
        <v>16.8</v>
      </c>
      <c r="M97" t="s">
        <v>19</v>
      </c>
      <c r="N97">
        <v>45512</v>
      </c>
    </row>
    <row r="98" spans="1:14" x14ac:dyDescent="0.35">
      <c r="A98" t="s">
        <v>137</v>
      </c>
      <c r="B98" t="s">
        <v>15</v>
      </c>
      <c r="C98" t="s">
        <v>22</v>
      </c>
      <c r="D98" t="s">
        <v>17</v>
      </c>
      <c r="E98">
        <v>661667</v>
      </c>
      <c r="F98">
        <v>9.9700000000000006</v>
      </c>
      <c r="G98">
        <v>12</v>
      </c>
      <c r="H98">
        <v>180271</v>
      </c>
      <c r="I98">
        <v>679</v>
      </c>
      <c r="J98" t="s">
        <v>18</v>
      </c>
      <c r="K98">
        <v>14.9</v>
      </c>
      <c r="L98">
        <v>25.7</v>
      </c>
      <c r="M98" t="s">
        <v>48</v>
      </c>
      <c r="N98">
        <v>45045</v>
      </c>
    </row>
    <row r="99" spans="1:14" x14ac:dyDescent="0.35">
      <c r="A99" t="s">
        <v>138</v>
      </c>
      <c r="B99" t="s">
        <v>15</v>
      </c>
      <c r="C99" t="s">
        <v>34</v>
      </c>
      <c r="D99" t="s">
        <v>17</v>
      </c>
      <c r="E99">
        <v>85388</v>
      </c>
      <c r="F99">
        <v>10.25</v>
      </c>
      <c r="G99">
        <v>12</v>
      </c>
      <c r="H99">
        <v>119404</v>
      </c>
      <c r="I99">
        <v>653</v>
      </c>
      <c r="J99" t="s">
        <v>18</v>
      </c>
      <c r="K99">
        <v>17.7</v>
      </c>
      <c r="L99">
        <v>32.700000000000003</v>
      </c>
      <c r="M99" t="s">
        <v>23</v>
      </c>
      <c r="N99">
        <v>45113</v>
      </c>
    </row>
    <row r="100" spans="1:14" x14ac:dyDescent="0.35">
      <c r="A100" t="s">
        <v>139</v>
      </c>
      <c r="B100" t="s">
        <v>30</v>
      </c>
      <c r="C100" t="s">
        <v>22</v>
      </c>
      <c r="D100" t="s">
        <v>52</v>
      </c>
      <c r="E100">
        <v>244779</v>
      </c>
      <c r="F100">
        <v>10.53</v>
      </c>
      <c r="G100">
        <v>240</v>
      </c>
      <c r="H100">
        <v>85724</v>
      </c>
      <c r="I100">
        <v>771</v>
      </c>
      <c r="J100" t="s">
        <v>18</v>
      </c>
      <c r="K100">
        <v>0.2</v>
      </c>
      <c r="L100">
        <v>38.799999999999997</v>
      </c>
      <c r="M100" t="s">
        <v>48</v>
      </c>
      <c r="N100">
        <v>45094</v>
      </c>
    </row>
    <row r="101" spans="1:14" x14ac:dyDescent="0.35">
      <c r="A101" t="s">
        <v>140</v>
      </c>
      <c r="B101" t="s">
        <v>30</v>
      </c>
      <c r="C101" t="s">
        <v>22</v>
      </c>
      <c r="D101" t="s">
        <v>32</v>
      </c>
      <c r="E101">
        <v>211846</v>
      </c>
      <c r="F101">
        <v>6.22</v>
      </c>
      <c r="G101">
        <v>24</v>
      </c>
      <c r="H101">
        <v>114133</v>
      </c>
      <c r="I101">
        <v>750</v>
      </c>
      <c r="J101" t="s">
        <v>18</v>
      </c>
      <c r="K101">
        <v>13</v>
      </c>
      <c r="L101">
        <v>12.2</v>
      </c>
      <c r="M101" t="s">
        <v>23</v>
      </c>
      <c r="N101">
        <v>44995</v>
      </c>
    </row>
    <row r="102" spans="1:14" x14ac:dyDescent="0.35">
      <c r="A102" t="s">
        <v>141</v>
      </c>
      <c r="B102" t="s">
        <v>30</v>
      </c>
      <c r="C102" t="s">
        <v>22</v>
      </c>
      <c r="D102" t="s">
        <v>52</v>
      </c>
      <c r="E102">
        <v>699335</v>
      </c>
      <c r="F102">
        <v>3.37</v>
      </c>
      <c r="G102">
        <v>120</v>
      </c>
      <c r="H102">
        <v>195477</v>
      </c>
      <c r="I102">
        <v>766</v>
      </c>
      <c r="J102" t="s">
        <v>39</v>
      </c>
      <c r="K102">
        <v>0.9</v>
      </c>
      <c r="L102">
        <v>46.5</v>
      </c>
      <c r="M102" t="s">
        <v>19</v>
      </c>
      <c r="N102">
        <v>45072</v>
      </c>
    </row>
    <row r="103" spans="1:14" x14ac:dyDescent="0.35">
      <c r="A103" t="s">
        <v>142</v>
      </c>
      <c r="B103" t="s">
        <v>28</v>
      </c>
      <c r="C103" t="s">
        <v>22</v>
      </c>
      <c r="D103" t="s">
        <v>32</v>
      </c>
      <c r="E103">
        <v>137212</v>
      </c>
      <c r="F103">
        <v>14.1</v>
      </c>
      <c r="G103">
        <v>24</v>
      </c>
      <c r="H103">
        <v>43989</v>
      </c>
      <c r="I103">
        <v>602</v>
      </c>
      <c r="J103" t="s">
        <v>18</v>
      </c>
      <c r="K103">
        <v>14.2</v>
      </c>
      <c r="L103">
        <v>43.6</v>
      </c>
      <c r="M103" t="s">
        <v>23</v>
      </c>
      <c r="N103">
        <v>44482</v>
      </c>
    </row>
    <row r="104" spans="1:14" x14ac:dyDescent="0.35">
      <c r="A104" t="s">
        <v>143</v>
      </c>
      <c r="B104" t="s">
        <v>30</v>
      </c>
      <c r="C104" t="s">
        <v>22</v>
      </c>
      <c r="D104" t="s">
        <v>17</v>
      </c>
      <c r="E104">
        <v>417811</v>
      </c>
      <c r="F104">
        <v>6.04</v>
      </c>
      <c r="G104">
        <v>60</v>
      </c>
      <c r="H104">
        <v>56931</v>
      </c>
      <c r="I104">
        <v>760</v>
      </c>
      <c r="J104" t="s">
        <v>26</v>
      </c>
      <c r="K104">
        <v>23</v>
      </c>
      <c r="L104">
        <v>18.8</v>
      </c>
      <c r="M104" t="s">
        <v>55</v>
      </c>
      <c r="N104">
        <v>45424</v>
      </c>
    </row>
    <row r="105" spans="1:14" x14ac:dyDescent="0.35">
      <c r="A105" t="s">
        <v>144</v>
      </c>
      <c r="B105" t="s">
        <v>15</v>
      </c>
      <c r="C105" t="s">
        <v>16</v>
      </c>
      <c r="D105" t="s">
        <v>32</v>
      </c>
      <c r="E105">
        <v>605309</v>
      </c>
      <c r="F105">
        <v>10.84</v>
      </c>
      <c r="G105">
        <v>240</v>
      </c>
      <c r="H105">
        <v>37290</v>
      </c>
      <c r="I105">
        <v>687</v>
      </c>
      <c r="J105" t="s">
        <v>26</v>
      </c>
      <c r="K105">
        <v>24.2</v>
      </c>
      <c r="L105">
        <v>40.9</v>
      </c>
      <c r="M105" t="s">
        <v>19</v>
      </c>
      <c r="N105">
        <v>44880</v>
      </c>
    </row>
    <row r="106" spans="1:14" x14ac:dyDescent="0.35">
      <c r="A106" t="s">
        <v>145</v>
      </c>
      <c r="B106" t="s">
        <v>83</v>
      </c>
      <c r="C106" t="s">
        <v>22</v>
      </c>
      <c r="D106" t="s">
        <v>32</v>
      </c>
      <c r="E106">
        <v>164380</v>
      </c>
      <c r="F106">
        <v>11.18</v>
      </c>
      <c r="G106">
        <v>12</v>
      </c>
      <c r="H106">
        <v>197439</v>
      </c>
      <c r="I106">
        <v>741</v>
      </c>
      <c r="J106" t="s">
        <v>18</v>
      </c>
      <c r="K106">
        <v>13.5</v>
      </c>
      <c r="L106">
        <v>28.7</v>
      </c>
      <c r="M106" t="s">
        <v>19</v>
      </c>
      <c r="N106">
        <v>45015</v>
      </c>
    </row>
    <row r="107" spans="1:14" x14ac:dyDescent="0.35">
      <c r="A107" t="s">
        <v>146</v>
      </c>
      <c r="B107" t="s">
        <v>30</v>
      </c>
      <c r="C107" t="s">
        <v>34</v>
      </c>
      <c r="D107" t="s">
        <v>17</v>
      </c>
      <c r="E107">
        <v>49789</v>
      </c>
      <c r="F107">
        <v>10.09</v>
      </c>
      <c r="G107">
        <v>120</v>
      </c>
      <c r="H107">
        <v>149136</v>
      </c>
      <c r="I107">
        <v>785</v>
      </c>
      <c r="J107" t="s">
        <v>26</v>
      </c>
      <c r="K107">
        <v>11.5</v>
      </c>
      <c r="L107">
        <v>26.5</v>
      </c>
      <c r="M107" t="s">
        <v>55</v>
      </c>
      <c r="N107">
        <v>44317</v>
      </c>
    </row>
    <row r="108" spans="1:14" x14ac:dyDescent="0.35">
      <c r="A108" t="s">
        <v>147</v>
      </c>
      <c r="B108" t="s">
        <v>15</v>
      </c>
      <c r="C108" t="s">
        <v>34</v>
      </c>
      <c r="D108" t="s">
        <v>45</v>
      </c>
      <c r="E108">
        <v>31086</v>
      </c>
      <c r="F108">
        <v>6.74</v>
      </c>
      <c r="G108">
        <v>120</v>
      </c>
      <c r="H108">
        <v>107878</v>
      </c>
      <c r="I108">
        <v>657</v>
      </c>
      <c r="J108" t="s">
        <v>18</v>
      </c>
      <c r="K108">
        <v>23.6</v>
      </c>
      <c r="L108">
        <v>20.6</v>
      </c>
      <c r="M108" t="s">
        <v>23</v>
      </c>
      <c r="N108">
        <v>45141</v>
      </c>
    </row>
    <row r="109" spans="1:14" x14ac:dyDescent="0.35">
      <c r="A109" t="s">
        <v>148</v>
      </c>
      <c r="B109" t="s">
        <v>25</v>
      </c>
      <c r="C109" t="s">
        <v>22</v>
      </c>
      <c r="D109" t="s">
        <v>17</v>
      </c>
      <c r="E109">
        <v>284003</v>
      </c>
      <c r="F109">
        <v>6.26</v>
      </c>
      <c r="G109">
        <v>36</v>
      </c>
      <c r="H109">
        <v>118477</v>
      </c>
      <c r="I109">
        <v>595</v>
      </c>
      <c r="J109" t="s">
        <v>26</v>
      </c>
      <c r="K109">
        <v>16.8</v>
      </c>
      <c r="L109">
        <v>31.2</v>
      </c>
      <c r="M109" t="s">
        <v>23</v>
      </c>
      <c r="N109">
        <v>45214</v>
      </c>
    </row>
    <row r="110" spans="1:14" x14ac:dyDescent="0.35">
      <c r="A110" t="s">
        <v>149</v>
      </c>
      <c r="B110" t="s">
        <v>30</v>
      </c>
      <c r="C110" t="s">
        <v>22</v>
      </c>
      <c r="D110" t="s">
        <v>45</v>
      </c>
      <c r="E110">
        <v>536972</v>
      </c>
      <c r="F110">
        <v>9.9499999999999993</v>
      </c>
      <c r="G110">
        <v>60</v>
      </c>
      <c r="H110">
        <v>154299</v>
      </c>
      <c r="I110">
        <v>675</v>
      </c>
      <c r="J110" t="s">
        <v>18</v>
      </c>
      <c r="K110">
        <v>1.6</v>
      </c>
      <c r="L110">
        <v>37.200000000000003</v>
      </c>
      <c r="M110" t="s">
        <v>55</v>
      </c>
      <c r="N110">
        <v>45408</v>
      </c>
    </row>
    <row r="111" spans="1:14" x14ac:dyDescent="0.35">
      <c r="A111" t="s">
        <v>150</v>
      </c>
      <c r="B111" t="s">
        <v>30</v>
      </c>
      <c r="C111" t="s">
        <v>22</v>
      </c>
      <c r="D111" t="s">
        <v>45</v>
      </c>
      <c r="E111">
        <v>96088</v>
      </c>
      <c r="F111">
        <v>12.99</v>
      </c>
      <c r="G111">
        <v>300</v>
      </c>
      <c r="H111">
        <v>189205</v>
      </c>
      <c r="I111">
        <v>726</v>
      </c>
      <c r="J111" t="s">
        <v>35</v>
      </c>
      <c r="K111">
        <v>11.6</v>
      </c>
      <c r="L111">
        <v>24.4</v>
      </c>
      <c r="M111" t="s">
        <v>23</v>
      </c>
      <c r="N111">
        <v>45103</v>
      </c>
    </row>
    <row r="112" spans="1:14" x14ac:dyDescent="0.35">
      <c r="A112" t="s">
        <v>151</v>
      </c>
      <c r="B112" t="s">
        <v>30</v>
      </c>
      <c r="C112" t="s">
        <v>16</v>
      </c>
      <c r="D112" t="s">
        <v>17</v>
      </c>
      <c r="E112">
        <v>399423</v>
      </c>
      <c r="F112">
        <v>13.9</v>
      </c>
      <c r="G112">
        <v>300</v>
      </c>
      <c r="H112">
        <v>133686</v>
      </c>
      <c r="I112">
        <v>581</v>
      </c>
      <c r="J112" t="s">
        <v>18</v>
      </c>
      <c r="K112">
        <v>6</v>
      </c>
      <c r="L112">
        <v>33.200000000000003</v>
      </c>
      <c r="M112" t="s">
        <v>23</v>
      </c>
      <c r="N112">
        <v>44209</v>
      </c>
    </row>
    <row r="113" spans="1:14" x14ac:dyDescent="0.35">
      <c r="A113" t="s">
        <v>152</v>
      </c>
      <c r="B113" t="s">
        <v>30</v>
      </c>
      <c r="C113" t="s">
        <v>22</v>
      </c>
      <c r="D113" t="s">
        <v>17</v>
      </c>
      <c r="E113">
        <v>575387</v>
      </c>
      <c r="F113">
        <v>4.4000000000000004</v>
      </c>
      <c r="G113">
        <v>120</v>
      </c>
      <c r="H113">
        <v>186124</v>
      </c>
      <c r="I113">
        <v>589</v>
      </c>
      <c r="J113" t="s">
        <v>18</v>
      </c>
      <c r="K113">
        <v>11.7</v>
      </c>
      <c r="L113">
        <v>36</v>
      </c>
      <c r="M113" t="s">
        <v>23</v>
      </c>
      <c r="N113">
        <v>44799</v>
      </c>
    </row>
    <row r="114" spans="1:14" x14ac:dyDescent="0.35">
      <c r="A114" t="s">
        <v>153</v>
      </c>
      <c r="B114" t="s">
        <v>71</v>
      </c>
      <c r="C114" t="s">
        <v>16</v>
      </c>
      <c r="D114" t="s">
        <v>38</v>
      </c>
      <c r="E114">
        <v>595381</v>
      </c>
      <c r="F114">
        <v>4.95</v>
      </c>
      <c r="G114">
        <v>240</v>
      </c>
      <c r="H114">
        <v>135286</v>
      </c>
      <c r="I114">
        <v>704</v>
      </c>
      <c r="J114" t="s">
        <v>39</v>
      </c>
      <c r="K114">
        <v>11.4</v>
      </c>
      <c r="L114">
        <v>36.4</v>
      </c>
      <c r="M114" t="s">
        <v>19</v>
      </c>
      <c r="N114">
        <v>44396</v>
      </c>
    </row>
    <row r="115" spans="1:14" x14ac:dyDescent="0.35">
      <c r="A115" t="s">
        <v>154</v>
      </c>
      <c r="B115" t="s">
        <v>25</v>
      </c>
      <c r="C115" t="s">
        <v>22</v>
      </c>
      <c r="D115" t="s">
        <v>32</v>
      </c>
      <c r="E115">
        <v>165761</v>
      </c>
      <c r="F115">
        <v>13.88</v>
      </c>
      <c r="G115">
        <v>12</v>
      </c>
      <c r="H115">
        <v>68475</v>
      </c>
      <c r="I115">
        <v>660</v>
      </c>
      <c r="J115" t="s">
        <v>18</v>
      </c>
      <c r="K115">
        <v>14.6</v>
      </c>
      <c r="L115">
        <v>10.1</v>
      </c>
      <c r="M115" t="s">
        <v>23</v>
      </c>
      <c r="N115">
        <v>44782</v>
      </c>
    </row>
    <row r="116" spans="1:14" x14ac:dyDescent="0.35">
      <c r="A116" t="s">
        <v>155</v>
      </c>
      <c r="B116" t="s">
        <v>28</v>
      </c>
      <c r="C116" t="s">
        <v>16</v>
      </c>
      <c r="D116" t="s">
        <v>17</v>
      </c>
      <c r="E116">
        <v>543181</v>
      </c>
      <c r="F116">
        <v>11.52</v>
      </c>
      <c r="G116">
        <v>12</v>
      </c>
      <c r="H116">
        <v>110666</v>
      </c>
      <c r="I116">
        <v>719</v>
      </c>
      <c r="J116" t="s">
        <v>26</v>
      </c>
      <c r="K116">
        <v>8.9</v>
      </c>
      <c r="L116">
        <v>42.4</v>
      </c>
      <c r="M116" t="s">
        <v>23</v>
      </c>
      <c r="N116">
        <v>44644</v>
      </c>
    </row>
    <row r="117" spans="1:14" x14ac:dyDescent="0.35">
      <c r="A117" t="s">
        <v>156</v>
      </c>
      <c r="B117" t="s">
        <v>37</v>
      </c>
      <c r="C117" t="s">
        <v>22</v>
      </c>
      <c r="D117" t="s">
        <v>52</v>
      </c>
      <c r="E117">
        <v>496024</v>
      </c>
      <c r="F117">
        <v>13.18</v>
      </c>
      <c r="G117">
        <v>120</v>
      </c>
      <c r="H117">
        <v>124622</v>
      </c>
      <c r="I117">
        <v>729</v>
      </c>
      <c r="J117" t="s">
        <v>26</v>
      </c>
      <c r="K117">
        <v>4.0999999999999996</v>
      </c>
      <c r="L117">
        <v>26.3</v>
      </c>
      <c r="M117" t="s">
        <v>23</v>
      </c>
      <c r="N117">
        <v>45037</v>
      </c>
    </row>
    <row r="118" spans="1:14" x14ac:dyDescent="0.35">
      <c r="A118" t="s">
        <v>157</v>
      </c>
      <c r="B118" t="s">
        <v>25</v>
      </c>
      <c r="C118" t="s">
        <v>22</v>
      </c>
      <c r="D118" t="s">
        <v>17</v>
      </c>
      <c r="E118">
        <v>595706</v>
      </c>
      <c r="F118">
        <v>5.49</v>
      </c>
      <c r="G118">
        <v>24</v>
      </c>
      <c r="H118">
        <v>216728</v>
      </c>
      <c r="I118">
        <v>708</v>
      </c>
      <c r="J118" t="s">
        <v>26</v>
      </c>
      <c r="K118">
        <v>12.6</v>
      </c>
      <c r="L118">
        <v>18.5</v>
      </c>
      <c r="M118" t="s">
        <v>23</v>
      </c>
      <c r="N118">
        <v>45291</v>
      </c>
    </row>
    <row r="119" spans="1:14" x14ac:dyDescent="0.35">
      <c r="A119" t="s">
        <v>158</v>
      </c>
      <c r="B119" t="s">
        <v>30</v>
      </c>
      <c r="C119" t="s">
        <v>34</v>
      </c>
      <c r="D119" t="s">
        <v>45</v>
      </c>
      <c r="E119">
        <v>130074</v>
      </c>
      <c r="F119">
        <v>9.84</v>
      </c>
      <c r="G119">
        <v>60</v>
      </c>
      <c r="H119">
        <v>163705</v>
      </c>
      <c r="I119">
        <v>818</v>
      </c>
      <c r="J119" t="s">
        <v>35</v>
      </c>
      <c r="K119">
        <v>20.8</v>
      </c>
      <c r="L119">
        <v>17.7</v>
      </c>
      <c r="M119" t="s">
        <v>55</v>
      </c>
      <c r="N119">
        <v>44786</v>
      </c>
    </row>
    <row r="120" spans="1:14" x14ac:dyDescent="0.35">
      <c r="A120" t="s">
        <v>159</v>
      </c>
      <c r="B120" t="s">
        <v>83</v>
      </c>
      <c r="C120" t="s">
        <v>16</v>
      </c>
      <c r="D120" t="s">
        <v>52</v>
      </c>
      <c r="E120">
        <v>135351</v>
      </c>
      <c r="F120">
        <v>11.12</v>
      </c>
      <c r="G120">
        <v>12</v>
      </c>
      <c r="H120">
        <v>176376</v>
      </c>
      <c r="I120">
        <v>637</v>
      </c>
      <c r="J120" t="s">
        <v>35</v>
      </c>
      <c r="K120">
        <v>16.600000000000001</v>
      </c>
      <c r="L120">
        <v>27.3</v>
      </c>
      <c r="M120" t="s">
        <v>48</v>
      </c>
      <c r="N120">
        <v>45350</v>
      </c>
    </row>
    <row r="121" spans="1:14" x14ac:dyDescent="0.35">
      <c r="A121" t="s">
        <v>160</v>
      </c>
      <c r="B121" t="s">
        <v>15</v>
      </c>
      <c r="C121" t="s">
        <v>22</v>
      </c>
      <c r="D121" t="s">
        <v>17</v>
      </c>
      <c r="E121">
        <v>720371</v>
      </c>
      <c r="F121">
        <v>10.89</v>
      </c>
      <c r="G121">
        <v>120</v>
      </c>
      <c r="H121">
        <v>135573</v>
      </c>
      <c r="I121">
        <v>777</v>
      </c>
      <c r="J121" t="s">
        <v>18</v>
      </c>
      <c r="K121">
        <v>8.5</v>
      </c>
      <c r="L121">
        <v>43.5</v>
      </c>
      <c r="M121" t="s">
        <v>19</v>
      </c>
      <c r="N121">
        <v>45085</v>
      </c>
    </row>
    <row r="122" spans="1:14" x14ac:dyDescent="0.35">
      <c r="A122" t="s">
        <v>161</v>
      </c>
      <c r="B122" t="s">
        <v>25</v>
      </c>
      <c r="C122" t="s">
        <v>34</v>
      </c>
      <c r="D122" t="s">
        <v>17</v>
      </c>
      <c r="E122">
        <v>43635</v>
      </c>
      <c r="F122">
        <v>7.81</v>
      </c>
      <c r="G122">
        <v>12</v>
      </c>
      <c r="H122">
        <v>74546</v>
      </c>
      <c r="I122">
        <v>790</v>
      </c>
      <c r="J122" t="s">
        <v>26</v>
      </c>
      <c r="K122">
        <v>23.4</v>
      </c>
      <c r="L122">
        <v>23.1</v>
      </c>
      <c r="M122" t="s">
        <v>23</v>
      </c>
      <c r="N122">
        <v>44239</v>
      </c>
    </row>
    <row r="123" spans="1:14" x14ac:dyDescent="0.35">
      <c r="A123" t="s">
        <v>162</v>
      </c>
      <c r="B123" t="s">
        <v>83</v>
      </c>
      <c r="C123" t="s">
        <v>22</v>
      </c>
      <c r="D123" t="s">
        <v>17</v>
      </c>
      <c r="E123">
        <v>100071</v>
      </c>
      <c r="F123">
        <v>3.37</v>
      </c>
      <c r="G123">
        <v>300</v>
      </c>
      <c r="H123">
        <v>35008</v>
      </c>
      <c r="I123">
        <v>624</v>
      </c>
      <c r="J123" t="s">
        <v>26</v>
      </c>
      <c r="K123">
        <v>22.8</v>
      </c>
      <c r="L123">
        <v>38</v>
      </c>
      <c r="M123" t="s">
        <v>55</v>
      </c>
      <c r="N123">
        <v>44716</v>
      </c>
    </row>
    <row r="124" spans="1:14" x14ac:dyDescent="0.35">
      <c r="A124" t="s">
        <v>163</v>
      </c>
      <c r="B124" t="s">
        <v>30</v>
      </c>
      <c r="C124" t="s">
        <v>34</v>
      </c>
      <c r="D124" t="s">
        <v>17</v>
      </c>
      <c r="E124">
        <v>470918</v>
      </c>
      <c r="F124">
        <v>9.7899999999999991</v>
      </c>
      <c r="G124">
        <v>120</v>
      </c>
      <c r="H124">
        <v>76291</v>
      </c>
      <c r="I124">
        <v>676</v>
      </c>
      <c r="J124" t="s">
        <v>26</v>
      </c>
      <c r="K124">
        <v>5.2</v>
      </c>
      <c r="L124">
        <v>11.9</v>
      </c>
      <c r="M124" t="s">
        <v>23</v>
      </c>
      <c r="N124">
        <v>45233</v>
      </c>
    </row>
    <row r="125" spans="1:14" x14ac:dyDescent="0.35">
      <c r="A125" t="s">
        <v>164</v>
      </c>
      <c r="B125" t="s">
        <v>30</v>
      </c>
      <c r="C125" t="s">
        <v>16</v>
      </c>
      <c r="D125" t="s">
        <v>17</v>
      </c>
      <c r="E125">
        <v>373377</v>
      </c>
      <c r="F125">
        <v>6.06</v>
      </c>
      <c r="G125">
        <v>60</v>
      </c>
      <c r="H125">
        <v>186477</v>
      </c>
      <c r="I125">
        <v>602</v>
      </c>
      <c r="J125" t="s">
        <v>18</v>
      </c>
      <c r="K125">
        <v>1</v>
      </c>
      <c r="L125">
        <v>27</v>
      </c>
      <c r="M125" t="s">
        <v>23</v>
      </c>
      <c r="N125">
        <v>44921</v>
      </c>
    </row>
    <row r="126" spans="1:14" x14ac:dyDescent="0.35">
      <c r="A126" t="s">
        <v>165</v>
      </c>
      <c r="B126" t="s">
        <v>30</v>
      </c>
      <c r="C126" t="s">
        <v>22</v>
      </c>
      <c r="D126" t="s">
        <v>45</v>
      </c>
      <c r="E126">
        <v>602093</v>
      </c>
      <c r="F126">
        <v>8.2899999999999991</v>
      </c>
      <c r="G126">
        <v>120</v>
      </c>
      <c r="H126">
        <v>64386</v>
      </c>
      <c r="I126">
        <v>623</v>
      </c>
      <c r="J126" t="s">
        <v>26</v>
      </c>
      <c r="K126">
        <v>18.5</v>
      </c>
      <c r="L126">
        <v>47.7</v>
      </c>
      <c r="M126" t="s">
        <v>48</v>
      </c>
      <c r="N126">
        <v>44819</v>
      </c>
    </row>
    <row r="127" spans="1:14" x14ac:dyDescent="0.35">
      <c r="A127" t="s">
        <v>166</v>
      </c>
      <c r="B127" t="s">
        <v>15</v>
      </c>
      <c r="C127" t="s">
        <v>22</v>
      </c>
      <c r="D127" t="s">
        <v>17</v>
      </c>
      <c r="E127">
        <v>426280</v>
      </c>
      <c r="F127">
        <v>14.02</v>
      </c>
      <c r="G127">
        <v>36</v>
      </c>
      <c r="H127">
        <v>118909</v>
      </c>
      <c r="I127">
        <v>606</v>
      </c>
      <c r="J127" t="s">
        <v>35</v>
      </c>
      <c r="K127">
        <v>20.7</v>
      </c>
      <c r="L127">
        <v>38.799999999999997</v>
      </c>
      <c r="M127" t="s">
        <v>19</v>
      </c>
      <c r="N127">
        <v>45184</v>
      </c>
    </row>
    <row r="128" spans="1:14" x14ac:dyDescent="0.35">
      <c r="A128" t="s">
        <v>167</v>
      </c>
      <c r="B128" t="s">
        <v>25</v>
      </c>
      <c r="C128" t="s">
        <v>22</v>
      </c>
      <c r="D128" t="s">
        <v>32</v>
      </c>
      <c r="E128">
        <v>346207</v>
      </c>
      <c r="F128">
        <v>7.71</v>
      </c>
      <c r="G128">
        <v>120</v>
      </c>
      <c r="H128">
        <v>179899</v>
      </c>
      <c r="I128">
        <v>676</v>
      </c>
      <c r="J128" t="s">
        <v>39</v>
      </c>
      <c r="K128">
        <v>24.2</v>
      </c>
      <c r="L128">
        <v>16.399999999999999</v>
      </c>
      <c r="M128" t="s">
        <v>19</v>
      </c>
      <c r="N128">
        <v>44999</v>
      </c>
    </row>
    <row r="129" spans="1:14" x14ac:dyDescent="0.35">
      <c r="A129" t="s">
        <v>168</v>
      </c>
      <c r="B129" t="s">
        <v>37</v>
      </c>
      <c r="C129" t="s">
        <v>16</v>
      </c>
      <c r="D129" t="s">
        <v>52</v>
      </c>
      <c r="E129">
        <v>269598</v>
      </c>
      <c r="F129">
        <v>12.69</v>
      </c>
      <c r="G129">
        <v>120</v>
      </c>
      <c r="H129">
        <v>61040</v>
      </c>
      <c r="I129">
        <v>615</v>
      </c>
      <c r="J129" t="s">
        <v>18</v>
      </c>
      <c r="K129">
        <v>22.2</v>
      </c>
      <c r="L129">
        <v>28.1</v>
      </c>
      <c r="M129" t="s">
        <v>19</v>
      </c>
      <c r="N129">
        <v>44731</v>
      </c>
    </row>
    <row r="130" spans="1:14" x14ac:dyDescent="0.35">
      <c r="A130" t="s">
        <v>169</v>
      </c>
      <c r="B130" t="s">
        <v>30</v>
      </c>
      <c r="C130" t="s">
        <v>16</v>
      </c>
      <c r="D130" t="s">
        <v>38</v>
      </c>
      <c r="E130">
        <v>288022</v>
      </c>
      <c r="F130">
        <v>5.33</v>
      </c>
      <c r="G130">
        <v>240</v>
      </c>
      <c r="H130">
        <v>88354</v>
      </c>
      <c r="I130">
        <v>688</v>
      </c>
      <c r="J130" t="s">
        <v>18</v>
      </c>
      <c r="K130">
        <v>15</v>
      </c>
      <c r="L130">
        <v>17.3</v>
      </c>
      <c r="M130" t="s">
        <v>23</v>
      </c>
      <c r="N130">
        <v>44498</v>
      </c>
    </row>
    <row r="131" spans="1:14" x14ac:dyDescent="0.35">
      <c r="A131" t="s">
        <v>170</v>
      </c>
      <c r="B131" t="s">
        <v>15</v>
      </c>
      <c r="C131" t="s">
        <v>22</v>
      </c>
      <c r="D131" t="s">
        <v>45</v>
      </c>
      <c r="E131">
        <v>187170</v>
      </c>
      <c r="F131">
        <v>10.8</v>
      </c>
      <c r="G131">
        <v>300</v>
      </c>
      <c r="H131">
        <v>106543</v>
      </c>
      <c r="I131">
        <v>634</v>
      </c>
      <c r="J131" t="s">
        <v>18</v>
      </c>
      <c r="K131">
        <v>13.3</v>
      </c>
      <c r="L131">
        <v>24.4</v>
      </c>
      <c r="M131" t="s">
        <v>23</v>
      </c>
      <c r="N131">
        <v>44723</v>
      </c>
    </row>
    <row r="132" spans="1:14" x14ac:dyDescent="0.35">
      <c r="A132" t="s">
        <v>171</v>
      </c>
      <c r="B132" t="s">
        <v>15</v>
      </c>
      <c r="C132" t="s">
        <v>22</v>
      </c>
      <c r="D132" t="s">
        <v>17</v>
      </c>
      <c r="E132">
        <v>198226</v>
      </c>
      <c r="F132">
        <v>14.24</v>
      </c>
      <c r="G132">
        <v>60</v>
      </c>
      <c r="H132">
        <v>46157</v>
      </c>
      <c r="I132">
        <v>771</v>
      </c>
      <c r="J132" t="s">
        <v>26</v>
      </c>
      <c r="K132">
        <v>0.7</v>
      </c>
      <c r="L132">
        <v>39.200000000000003</v>
      </c>
      <c r="M132" t="s">
        <v>19</v>
      </c>
      <c r="N132">
        <v>45335</v>
      </c>
    </row>
    <row r="133" spans="1:14" x14ac:dyDescent="0.35">
      <c r="A133" t="s">
        <v>172</v>
      </c>
      <c r="B133" t="s">
        <v>30</v>
      </c>
      <c r="C133" t="s">
        <v>34</v>
      </c>
      <c r="D133" t="s">
        <v>45</v>
      </c>
      <c r="E133">
        <v>149063</v>
      </c>
      <c r="F133">
        <v>4.3499999999999996</v>
      </c>
      <c r="G133">
        <v>240</v>
      </c>
      <c r="H133">
        <v>63315</v>
      </c>
      <c r="I133">
        <v>798</v>
      </c>
      <c r="J133" t="s">
        <v>26</v>
      </c>
      <c r="K133">
        <v>6.2</v>
      </c>
      <c r="L133">
        <v>38.799999999999997</v>
      </c>
      <c r="M133" t="s">
        <v>23</v>
      </c>
      <c r="N133">
        <v>44656</v>
      </c>
    </row>
    <row r="134" spans="1:14" x14ac:dyDescent="0.35">
      <c r="A134" t="s">
        <v>173</v>
      </c>
      <c r="B134" t="s">
        <v>30</v>
      </c>
      <c r="C134" t="s">
        <v>34</v>
      </c>
      <c r="D134" t="s">
        <v>32</v>
      </c>
      <c r="E134">
        <v>597632</v>
      </c>
      <c r="F134">
        <v>3.29</v>
      </c>
      <c r="G134">
        <v>120</v>
      </c>
      <c r="H134">
        <v>63932</v>
      </c>
      <c r="I134">
        <v>764</v>
      </c>
      <c r="J134" t="s">
        <v>18</v>
      </c>
      <c r="K134">
        <v>11.5</v>
      </c>
      <c r="L134">
        <v>17.100000000000001</v>
      </c>
      <c r="M134" t="s">
        <v>23</v>
      </c>
      <c r="N134">
        <v>45028</v>
      </c>
    </row>
    <row r="135" spans="1:14" x14ac:dyDescent="0.35">
      <c r="A135" t="s">
        <v>174</v>
      </c>
      <c r="B135" t="s">
        <v>30</v>
      </c>
      <c r="C135" t="s">
        <v>16</v>
      </c>
      <c r="D135" t="s">
        <v>32</v>
      </c>
      <c r="E135">
        <v>565881</v>
      </c>
      <c r="F135">
        <v>8.1</v>
      </c>
      <c r="G135">
        <v>60</v>
      </c>
      <c r="H135">
        <v>180236</v>
      </c>
      <c r="I135">
        <v>648</v>
      </c>
      <c r="J135" t="s">
        <v>18</v>
      </c>
      <c r="K135">
        <v>15.7</v>
      </c>
      <c r="L135">
        <v>44.9</v>
      </c>
      <c r="M135" t="s">
        <v>19</v>
      </c>
      <c r="N135">
        <v>44701</v>
      </c>
    </row>
    <row r="136" spans="1:14" x14ac:dyDescent="0.35">
      <c r="A136" t="s">
        <v>175</v>
      </c>
      <c r="B136" t="s">
        <v>71</v>
      </c>
      <c r="C136" t="s">
        <v>22</v>
      </c>
      <c r="D136" t="s">
        <v>17</v>
      </c>
      <c r="E136">
        <v>565592</v>
      </c>
      <c r="F136">
        <v>4.25</v>
      </c>
      <c r="G136">
        <v>36</v>
      </c>
      <c r="H136">
        <v>173486</v>
      </c>
      <c r="I136">
        <v>709</v>
      </c>
      <c r="J136" t="s">
        <v>18</v>
      </c>
      <c r="K136">
        <v>13.9</v>
      </c>
      <c r="L136">
        <v>31.7</v>
      </c>
      <c r="M136" t="s">
        <v>19</v>
      </c>
      <c r="N136">
        <v>45528</v>
      </c>
    </row>
    <row r="137" spans="1:14" x14ac:dyDescent="0.35">
      <c r="A137" t="s">
        <v>176</v>
      </c>
      <c r="B137" t="s">
        <v>30</v>
      </c>
      <c r="C137" t="s">
        <v>22</v>
      </c>
      <c r="D137" t="s">
        <v>43</v>
      </c>
      <c r="E137">
        <v>428602</v>
      </c>
      <c r="F137">
        <v>11.66</v>
      </c>
      <c r="G137">
        <v>60</v>
      </c>
      <c r="H137">
        <v>173399</v>
      </c>
      <c r="I137">
        <v>634</v>
      </c>
      <c r="J137" t="s">
        <v>18</v>
      </c>
      <c r="K137">
        <v>18.600000000000001</v>
      </c>
      <c r="L137">
        <v>23.2</v>
      </c>
      <c r="M137" t="s">
        <v>23</v>
      </c>
      <c r="N137">
        <v>45128</v>
      </c>
    </row>
    <row r="138" spans="1:14" x14ac:dyDescent="0.35">
      <c r="A138" t="s">
        <v>177</v>
      </c>
      <c r="B138" t="s">
        <v>15</v>
      </c>
      <c r="C138" t="s">
        <v>22</v>
      </c>
      <c r="D138" t="s">
        <v>32</v>
      </c>
      <c r="E138">
        <v>715580</v>
      </c>
      <c r="F138">
        <v>13.53</v>
      </c>
      <c r="G138">
        <v>12</v>
      </c>
      <c r="H138">
        <v>141880</v>
      </c>
      <c r="I138">
        <v>676</v>
      </c>
      <c r="J138" t="s">
        <v>39</v>
      </c>
      <c r="K138">
        <v>7</v>
      </c>
      <c r="L138">
        <v>28.1</v>
      </c>
      <c r="M138" t="s">
        <v>19</v>
      </c>
      <c r="N138">
        <v>44521</v>
      </c>
    </row>
    <row r="139" spans="1:14" x14ac:dyDescent="0.35">
      <c r="A139" t="s">
        <v>178</v>
      </c>
      <c r="B139" t="s">
        <v>28</v>
      </c>
      <c r="C139" t="s">
        <v>34</v>
      </c>
      <c r="D139" t="s">
        <v>17</v>
      </c>
      <c r="E139">
        <v>118613</v>
      </c>
      <c r="F139">
        <v>8.1</v>
      </c>
      <c r="G139">
        <v>240</v>
      </c>
      <c r="H139">
        <v>160018</v>
      </c>
      <c r="I139">
        <v>666</v>
      </c>
      <c r="J139" t="s">
        <v>26</v>
      </c>
      <c r="K139">
        <v>14.1</v>
      </c>
      <c r="L139">
        <v>32.200000000000003</v>
      </c>
      <c r="M139" t="s">
        <v>55</v>
      </c>
      <c r="N139">
        <v>44775</v>
      </c>
    </row>
    <row r="140" spans="1:14" x14ac:dyDescent="0.35">
      <c r="A140" t="s">
        <v>179</v>
      </c>
      <c r="B140" t="s">
        <v>15</v>
      </c>
      <c r="C140" t="s">
        <v>22</v>
      </c>
      <c r="D140" t="s">
        <v>17</v>
      </c>
      <c r="E140">
        <v>729698</v>
      </c>
      <c r="F140">
        <v>6.12</v>
      </c>
      <c r="G140">
        <v>60</v>
      </c>
      <c r="H140">
        <v>42693</v>
      </c>
      <c r="I140">
        <v>698</v>
      </c>
      <c r="J140" t="s">
        <v>18</v>
      </c>
      <c r="K140">
        <v>2.2000000000000002</v>
      </c>
      <c r="L140">
        <v>30.4</v>
      </c>
      <c r="M140" t="s">
        <v>19</v>
      </c>
      <c r="N140">
        <v>44957</v>
      </c>
    </row>
    <row r="141" spans="1:14" x14ac:dyDescent="0.35">
      <c r="A141" t="s">
        <v>180</v>
      </c>
      <c r="B141" t="s">
        <v>21</v>
      </c>
      <c r="C141" t="s">
        <v>16</v>
      </c>
      <c r="D141" t="s">
        <v>32</v>
      </c>
      <c r="E141">
        <v>492505</v>
      </c>
      <c r="F141">
        <v>8.11</v>
      </c>
      <c r="G141">
        <v>300</v>
      </c>
      <c r="H141">
        <v>55241</v>
      </c>
      <c r="I141">
        <v>787</v>
      </c>
      <c r="J141" t="s">
        <v>18</v>
      </c>
      <c r="K141">
        <v>10.3</v>
      </c>
      <c r="L141">
        <v>27.5</v>
      </c>
      <c r="M141" t="s">
        <v>23</v>
      </c>
      <c r="N141">
        <v>45395</v>
      </c>
    </row>
    <row r="142" spans="1:14" x14ac:dyDescent="0.35">
      <c r="A142" t="s">
        <v>181</v>
      </c>
      <c r="B142" t="s">
        <v>21</v>
      </c>
      <c r="C142" t="s">
        <v>22</v>
      </c>
      <c r="D142" t="s">
        <v>43</v>
      </c>
      <c r="E142">
        <v>419299</v>
      </c>
      <c r="F142">
        <v>11.37</v>
      </c>
      <c r="G142">
        <v>36</v>
      </c>
      <c r="H142">
        <v>143194</v>
      </c>
      <c r="I142">
        <v>733</v>
      </c>
      <c r="J142" t="s">
        <v>18</v>
      </c>
      <c r="K142">
        <v>18.8</v>
      </c>
      <c r="L142">
        <v>28.2</v>
      </c>
      <c r="M142" t="s">
        <v>23</v>
      </c>
      <c r="N142">
        <v>45047</v>
      </c>
    </row>
    <row r="143" spans="1:14" x14ac:dyDescent="0.35">
      <c r="A143" t="s">
        <v>182</v>
      </c>
      <c r="B143" t="s">
        <v>30</v>
      </c>
      <c r="C143" t="s">
        <v>16</v>
      </c>
      <c r="D143" t="s">
        <v>38</v>
      </c>
      <c r="E143">
        <v>547642</v>
      </c>
      <c r="F143">
        <v>3.3</v>
      </c>
      <c r="G143">
        <v>48</v>
      </c>
      <c r="H143">
        <v>123790</v>
      </c>
      <c r="I143">
        <v>614</v>
      </c>
      <c r="J143" t="s">
        <v>35</v>
      </c>
      <c r="K143">
        <v>17.3</v>
      </c>
      <c r="L143">
        <v>15.1</v>
      </c>
      <c r="M143" t="s">
        <v>23</v>
      </c>
      <c r="N143">
        <v>45392</v>
      </c>
    </row>
    <row r="144" spans="1:14" x14ac:dyDescent="0.35">
      <c r="A144" t="s">
        <v>183</v>
      </c>
      <c r="B144" t="s">
        <v>15</v>
      </c>
      <c r="C144" t="s">
        <v>16</v>
      </c>
      <c r="D144" t="s">
        <v>38</v>
      </c>
      <c r="E144">
        <v>289334</v>
      </c>
      <c r="F144">
        <v>9.86</v>
      </c>
      <c r="G144">
        <v>120</v>
      </c>
      <c r="H144">
        <v>174612</v>
      </c>
      <c r="I144">
        <v>658</v>
      </c>
      <c r="J144" t="s">
        <v>18</v>
      </c>
      <c r="K144">
        <v>24.8</v>
      </c>
      <c r="L144">
        <v>40.5</v>
      </c>
      <c r="M144" t="s">
        <v>23</v>
      </c>
      <c r="N144">
        <v>45156</v>
      </c>
    </row>
    <row r="145" spans="1:14" x14ac:dyDescent="0.35">
      <c r="A145" t="s">
        <v>184</v>
      </c>
      <c r="B145" t="s">
        <v>30</v>
      </c>
      <c r="C145" t="s">
        <v>34</v>
      </c>
      <c r="D145" t="s">
        <v>17</v>
      </c>
      <c r="E145">
        <v>535430</v>
      </c>
      <c r="F145">
        <v>10.130000000000001</v>
      </c>
      <c r="G145">
        <v>60</v>
      </c>
      <c r="H145">
        <v>100255</v>
      </c>
      <c r="I145">
        <v>646</v>
      </c>
      <c r="J145" t="s">
        <v>18</v>
      </c>
      <c r="K145">
        <v>6.9</v>
      </c>
      <c r="L145">
        <v>29.7</v>
      </c>
      <c r="M145" t="s">
        <v>23</v>
      </c>
      <c r="N145">
        <v>44698</v>
      </c>
    </row>
    <row r="146" spans="1:14" x14ac:dyDescent="0.35">
      <c r="A146" t="s">
        <v>185</v>
      </c>
      <c r="B146" t="s">
        <v>30</v>
      </c>
      <c r="C146" t="s">
        <v>22</v>
      </c>
      <c r="D146" t="s">
        <v>32</v>
      </c>
      <c r="E146">
        <v>426614</v>
      </c>
      <c r="F146">
        <v>10.41</v>
      </c>
      <c r="G146">
        <v>120</v>
      </c>
      <c r="H146">
        <v>200275</v>
      </c>
      <c r="I146">
        <v>613</v>
      </c>
      <c r="J146" t="s">
        <v>18</v>
      </c>
      <c r="K146">
        <v>12.5</v>
      </c>
      <c r="L146">
        <v>13.2</v>
      </c>
      <c r="M146" t="s">
        <v>23</v>
      </c>
      <c r="N146">
        <v>44530</v>
      </c>
    </row>
    <row r="147" spans="1:14" x14ac:dyDescent="0.35">
      <c r="A147" t="s">
        <v>186</v>
      </c>
      <c r="B147" t="s">
        <v>30</v>
      </c>
      <c r="C147" t="s">
        <v>22</v>
      </c>
      <c r="D147" t="s">
        <v>32</v>
      </c>
      <c r="E147">
        <v>188043</v>
      </c>
      <c r="F147">
        <v>5.93</v>
      </c>
      <c r="G147">
        <v>24</v>
      </c>
      <c r="H147">
        <v>184153</v>
      </c>
      <c r="I147">
        <v>676</v>
      </c>
      <c r="J147" t="s">
        <v>26</v>
      </c>
      <c r="K147">
        <v>8.1999999999999993</v>
      </c>
      <c r="L147">
        <v>38.6</v>
      </c>
      <c r="M147" t="s">
        <v>23</v>
      </c>
      <c r="N147">
        <v>44480</v>
      </c>
    </row>
    <row r="148" spans="1:14" x14ac:dyDescent="0.35">
      <c r="A148" t="s">
        <v>187</v>
      </c>
      <c r="B148" t="s">
        <v>28</v>
      </c>
      <c r="C148" t="s">
        <v>22</v>
      </c>
      <c r="D148" t="s">
        <v>17</v>
      </c>
      <c r="E148">
        <v>713770</v>
      </c>
      <c r="F148">
        <v>11.27</v>
      </c>
      <c r="G148">
        <v>12</v>
      </c>
      <c r="H148">
        <v>39350</v>
      </c>
      <c r="I148">
        <v>748</v>
      </c>
      <c r="J148" t="s">
        <v>26</v>
      </c>
      <c r="K148">
        <v>11</v>
      </c>
      <c r="L148">
        <v>45.3</v>
      </c>
      <c r="M148" t="s">
        <v>55</v>
      </c>
      <c r="N148">
        <v>44671</v>
      </c>
    </row>
    <row r="149" spans="1:14" x14ac:dyDescent="0.35">
      <c r="A149" t="s">
        <v>188</v>
      </c>
      <c r="B149" t="s">
        <v>15</v>
      </c>
      <c r="C149" t="s">
        <v>34</v>
      </c>
      <c r="D149" t="s">
        <v>17</v>
      </c>
      <c r="E149">
        <v>155575</v>
      </c>
      <c r="F149">
        <v>4.2300000000000004</v>
      </c>
      <c r="G149">
        <v>240</v>
      </c>
      <c r="H149">
        <v>214584</v>
      </c>
      <c r="I149">
        <v>748</v>
      </c>
      <c r="J149" t="s">
        <v>26</v>
      </c>
      <c r="K149">
        <v>21.4</v>
      </c>
      <c r="L149">
        <v>45.9</v>
      </c>
      <c r="M149" t="s">
        <v>23</v>
      </c>
      <c r="N149">
        <v>45274</v>
      </c>
    </row>
    <row r="150" spans="1:14" x14ac:dyDescent="0.35">
      <c r="A150" t="s">
        <v>189</v>
      </c>
      <c r="B150" t="s">
        <v>30</v>
      </c>
      <c r="C150" t="s">
        <v>34</v>
      </c>
      <c r="D150" t="s">
        <v>38</v>
      </c>
      <c r="E150">
        <v>130438</v>
      </c>
      <c r="F150">
        <v>5.45</v>
      </c>
      <c r="G150">
        <v>12</v>
      </c>
      <c r="H150">
        <v>84809</v>
      </c>
      <c r="I150">
        <v>730</v>
      </c>
      <c r="J150" t="s">
        <v>18</v>
      </c>
      <c r="K150">
        <v>17.100000000000001</v>
      </c>
      <c r="L150">
        <v>22.8</v>
      </c>
      <c r="M150" t="s">
        <v>19</v>
      </c>
      <c r="N150">
        <v>45640</v>
      </c>
    </row>
    <row r="151" spans="1:14" x14ac:dyDescent="0.35">
      <c r="A151" t="s">
        <v>190</v>
      </c>
      <c r="B151" t="s">
        <v>30</v>
      </c>
      <c r="C151" t="s">
        <v>16</v>
      </c>
      <c r="D151" t="s">
        <v>17</v>
      </c>
      <c r="E151">
        <v>577744</v>
      </c>
      <c r="F151">
        <v>13.12</v>
      </c>
      <c r="G151">
        <v>24</v>
      </c>
      <c r="H151">
        <v>129894</v>
      </c>
      <c r="I151">
        <v>650</v>
      </c>
      <c r="J151" t="s">
        <v>18</v>
      </c>
      <c r="K151">
        <v>22.1</v>
      </c>
      <c r="L151">
        <v>13.4</v>
      </c>
      <c r="M151" t="s">
        <v>19</v>
      </c>
      <c r="N151">
        <v>44828</v>
      </c>
    </row>
    <row r="152" spans="1:14" x14ac:dyDescent="0.35">
      <c r="A152" t="s">
        <v>191</v>
      </c>
      <c r="B152" t="s">
        <v>83</v>
      </c>
      <c r="C152" t="s">
        <v>16</v>
      </c>
      <c r="D152" t="s">
        <v>32</v>
      </c>
      <c r="E152">
        <v>629455</v>
      </c>
      <c r="F152">
        <v>11.55</v>
      </c>
      <c r="G152">
        <v>24</v>
      </c>
      <c r="H152">
        <v>125557</v>
      </c>
      <c r="I152">
        <v>582</v>
      </c>
      <c r="J152" t="s">
        <v>18</v>
      </c>
      <c r="K152">
        <v>5.0999999999999996</v>
      </c>
      <c r="L152">
        <v>28.7</v>
      </c>
      <c r="M152" t="s">
        <v>23</v>
      </c>
      <c r="N152">
        <v>44899</v>
      </c>
    </row>
    <row r="153" spans="1:14" x14ac:dyDescent="0.35">
      <c r="A153" t="s">
        <v>192</v>
      </c>
      <c r="B153" t="s">
        <v>30</v>
      </c>
      <c r="C153" t="s">
        <v>16</v>
      </c>
      <c r="D153" t="s">
        <v>17</v>
      </c>
      <c r="E153">
        <v>269528</v>
      </c>
      <c r="F153">
        <v>3.36</v>
      </c>
      <c r="G153">
        <v>240</v>
      </c>
      <c r="H153">
        <v>201904</v>
      </c>
      <c r="I153">
        <v>611</v>
      </c>
      <c r="J153" t="s">
        <v>26</v>
      </c>
      <c r="K153">
        <v>21.8</v>
      </c>
      <c r="L153">
        <v>12.5</v>
      </c>
      <c r="M153" t="s">
        <v>48</v>
      </c>
      <c r="N153">
        <v>44605</v>
      </c>
    </row>
    <row r="154" spans="1:14" x14ac:dyDescent="0.35">
      <c r="A154" t="s">
        <v>193</v>
      </c>
      <c r="B154" t="s">
        <v>30</v>
      </c>
      <c r="C154" t="s">
        <v>22</v>
      </c>
      <c r="D154" t="s">
        <v>17</v>
      </c>
      <c r="E154">
        <v>198392</v>
      </c>
      <c r="F154">
        <v>6.01</v>
      </c>
      <c r="G154">
        <v>60</v>
      </c>
      <c r="H154">
        <v>187441</v>
      </c>
      <c r="I154">
        <v>661</v>
      </c>
      <c r="J154" t="s">
        <v>18</v>
      </c>
      <c r="K154">
        <v>1.5</v>
      </c>
      <c r="L154">
        <v>45.4</v>
      </c>
      <c r="M154" t="s">
        <v>19</v>
      </c>
      <c r="N154">
        <v>45178</v>
      </c>
    </row>
    <row r="155" spans="1:14" x14ac:dyDescent="0.35">
      <c r="A155" t="s">
        <v>194</v>
      </c>
      <c r="B155" t="s">
        <v>15</v>
      </c>
      <c r="C155" t="s">
        <v>34</v>
      </c>
      <c r="D155" t="s">
        <v>17</v>
      </c>
      <c r="E155">
        <v>413288</v>
      </c>
      <c r="F155">
        <v>5.62</v>
      </c>
      <c r="G155">
        <v>24</v>
      </c>
      <c r="H155">
        <v>59728</v>
      </c>
      <c r="I155">
        <v>622</v>
      </c>
      <c r="J155" t="s">
        <v>18</v>
      </c>
      <c r="K155">
        <v>22.2</v>
      </c>
      <c r="L155">
        <v>15.3</v>
      </c>
      <c r="M155" t="s">
        <v>23</v>
      </c>
      <c r="N155">
        <v>45524</v>
      </c>
    </row>
    <row r="156" spans="1:14" x14ac:dyDescent="0.35">
      <c r="A156" t="s">
        <v>195</v>
      </c>
      <c r="B156" t="s">
        <v>110</v>
      </c>
      <c r="C156" t="s">
        <v>22</v>
      </c>
      <c r="D156" t="s">
        <v>52</v>
      </c>
      <c r="E156">
        <v>107239</v>
      </c>
      <c r="F156">
        <v>6.26</v>
      </c>
      <c r="G156">
        <v>48</v>
      </c>
      <c r="H156">
        <v>45576</v>
      </c>
      <c r="I156">
        <v>684</v>
      </c>
      <c r="J156" t="s">
        <v>39</v>
      </c>
      <c r="K156">
        <v>8.1999999999999993</v>
      </c>
      <c r="L156">
        <v>18.100000000000001</v>
      </c>
      <c r="M156" t="s">
        <v>19</v>
      </c>
      <c r="N156">
        <v>44755</v>
      </c>
    </row>
    <row r="157" spans="1:14" x14ac:dyDescent="0.35">
      <c r="A157" t="s">
        <v>196</v>
      </c>
      <c r="B157" t="s">
        <v>30</v>
      </c>
      <c r="C157" t="s">
        <v>22</v>
      </c>
      <c r="D157" t="s">
        <v>38</v>
      </c>
      <c r="E157">
        <v>640719</v>
      </c>
      <c r="F157">
        <v>6</v>
      </c>
      <c r="G157">
        <v>120</v>
      </c>
      <c r="H157">
        <v>188073</v>
      </c>
      <c r="I157">
        <v>580</v>
      </c>
      <c r="J157" t="s">
        <v>39</v>
      </c>
      <c r="K157">
        <v>7.9</v>
      </c>
      <c r="L157">
        <v>24.3</v>
      </c>
      <c r="M157" t="s">
        <v>23</v>
      </c>
      <c r="N157">
        <v>44418</v>
      </c>
    </row>
    <row r="158" spans="1:14" x14ac:dyDescent="0.35">
      <c r="A158" t="s">
        <v>197</v>
      </c>
      <c r="B158" t="s">
        <v>28</v>
      </c>
      <c r="C158" t="s">
        <v>16</v>
      </c>
      <c r="D158" t="s">
        <v>52</v>
      </c>
      <c r="E158">
        <v>569798</v>
      </c>
      <c r="F158">
        <v>3.91</v>
      </c>
      <c r="G158">
        <v>120</v>
      </c>
      <c r="H158">
        <v>111384</v>
      </c>
      <c r="I158">
        <v>640</v>
      </c>
      <c r="J158" t="s">
        <v>18</v>
      </c>
      <c r="K158">
        <v>12.8</v>
      </c>
      <c r="L158">
        <v>23.3</v>
      </c>
      <c r="M158" t="s">
        <v>19</v>
      </c>
      <c r="N158">
        <v>44354</v>
      </c>
    </row>
    <row r="159" spans="1:14" x14ac:dyDescent="0.35">
      <c r="A159" t="s">
        <v>198</v>
      </c>
      <c r="B159" t="s">
        <v>25</v>
      </c>
      <c r="C159" t="s">
        <v>22</v>
      </c>
      <c r="D159" t="s">
        <v>32</v>
      </c>
      <c r="E159">
        <v>709293</v>
      </c>
      <c r="F159">
        <v>8.39</v>
      </c>
      <c r="G159">
        <v>36</v>
      </c>
      <c r="H159">
        <v>28390</v>
      </c>
      <c r="I159">
        <v>849</v>
      </c>
      <c r="J159" t="s">
        <v>18</v>
      </c>
      <c r="K159">
        <v>23.5</v>
      </c>
      <c r="L159">
        <v>39.799999999999997</v>
      </c>
      <c r="M159" t="s">
        <v>23</v>
      </c>
      <c r="N159">
        <v>44544</v>
      </c>
    </row>
    <row r="160" spans="1:14" x14ac:dyDescent="0.35">
      <c r="A160" t="s">
        <v>199</v>
      </c>
      <c r="B160" t="s">
        <v>30</v>
      </c>
      <c r="C160" t="s">
        <v>22</v>
      </c>
      <c r="D160" t="s">
        <v>17</v>
      </c>
      <c r="E160">
        <v>335170</v>
      </c>
      <c r="F160">
        <v>11.48</v>
      </c>
      <c r="G160">
        <v>300</v>
      </c>
      <c r="H160">
        <v>73436</v>
      </c>
      <c r="I160">
        <v>759</v>
      </c>
      <c r="J160" t="s">
        <v>18</v>
      </c>
      <c r="K160">
        <v>1.2</v>
      </c>
      <c r="L160">
        <v>26.3</v>
      </c>
      <c r="M160" t="s">
        <v>55</v>
      </c>
      <c r="N160">
        <v>45379</v>
      </c>
    </row>
    <row r="161" spans="1:14" x14ac:dyDescent="0.35">
      <c r="A161" t="s">
        <v>200</v>
      </c>
      <c r="B161" t="s">
        <v>28</v>
      </c>
      <c r="C161" t="s">
        <v>16</v>
      </c>
      <c r="D161" t="s">
        <v>32</v>
      </c>
      <c r="E161">
        <v>126668</v>
      </c>
      <c r="F161">
        <v>10.06</v>
      </c>
      <c r="G161">
        <v>24</v>
      </c>
      <c r="H161">
        <v>39569</v>
      </c>
      <c r="I161">
        <v>803</v>
      </c>
      <c r="J161" t="s">
        <v>26</v>
      </c>
      <c r="K161">
        <v>8.8000000000000007</v>
      </c>
      <c r="L161">
        <v>14.8</v>
      </c>
      <c r="M161" t="s">
        <v>23</v>
      </c>
      <c r="N161">
        <v>45085</v>
      </c>
    </row>
    <row r="162" spans="1:14" x14ac:dyDescent="0.35">
      <c r="A162" t="s">
        <v>201</v>
      </c>
      <c r="B162" t="s">
        <v>15</v>
      </c>
      <c r="C162" t="s">
        <v>22</v>
      </c>
      <c r="D162" t="s">
        <v>32</v>
      </c>
      <c r="E162">
        <v>423734</v>
      </c>
      <c r="F162">
        <v>10.8</v>
      </c>
      <c r="G162">
        <v>24</v>
      </c>
      <c r="H162">
        <v>172101</v>
      </c>
      <c r="I162">
        <v>585</v>
      </c>
      <c r="J162" t="s">
        <v>26</v>
      </c>
      <c r="K162">
        <v>21.4</v>
      </c>
      <c r="L162">
        <v>18.7</v>
      </c>
      <c r="M162" t="s">
        <v>19</v>
      </c>
      <c r="N162">
        <v>45118</v>
      </c>
    </row>
    <row r="163" spans="1:14" x14ac:dyDescent="0.35">
      <c r="A163" t="s">
        <v>202</v>
      </c>
      <c r="B163" t="s">
        <v>28</v>
      </c>
      <c r="C163" t="s">
        <v>16</v>
      </c>
      <c r="D163" t="s">
        <v>43</v>
      </c>
      <c r="E163">
        <v>553333</v>
      </c>
      <c r="F163">
        <v>4.12</v>
      </c>
      <c r="G163">
        <v>48</v>
      </c>
      <c r="H163">
        <v>50490</v>
      </c>
      <c r="I163">
        <v>682</v>
      </c>
      <c r="J163" t="s">
        <v>18</v>
      </c>
      <c r="K163">
        <v>9.9</v>
      </c>
      <c r="L163">
        <v>28.4</v>
      </c>
      <c r="M163" t="s">
        <v>23</v>
      </c>
      <c r="N163">
        <v>45455</v>
      </c>
    </row>
    <row r="164" spans="1:14" x14ac:dyDescent="0.35">
      <c r="A164" t="s">
        <v>203</v>
      </c>
      <c r="B164" t="s">
        <v>28</v>
      </c>
      <c r="C164" t="s">
        <v>22</v>
      </c>
      <c r="D164" t="s">
        <v>17</v>
      </c>
      <c r="E164">
        <v>186948</v>
      </c>
      <c r="F164">
        <v>13.95</v>
      </c>
      <c r="G164">
        <v>12</v>
      </c>
      <c r="H164">
        <v>73875</v>
      </c>
      <c r="I164">
        <v>589</v>
      </c>
      <c r="J164" t="s">
        <v>18</v>
      </c>
      <c r="K164">
        <v>5</v>
      </c>
      <c r="L164">
        <v>13.9</v>
      </c>
      <c r="M164" t="s">
        <v>19</v>
      </c>
      <c r="N164">
        <v>44858</v>
      </c>
    </row>
    <row r="165" spans="1:14" x14ac:dyDescent="0.35">
      <c r="A165" t="s">
        <v>204</v>
      </c>
      <c r="B165" t="s">
        <v>15</v>
      </c>
      <c r="C165" t="s">
        <v>22</v>
      </c>
      <c r="D165" t="s">
        <v>32</v>
      </c>
      <c r="E165">
        <v>490662</v>
      </c>
      <c r="F165">
        <v>12.67</v>
      </c>
      <c r="G165">
        <v>12</v>
      </c>
      <c r="H165">
        <v>33867</v>
      </c>
      <c r="I165">
        <v>650</v>
      </c>
      <c r="J165" t="s">
        <v>26</v>
      </c>
      <c r="K165">
        <v>10.6</v>
      </c>
      <c r="L165">
        <v>32.5</v>
      </c>
      <c r="M165" t="s">
        <v>19</v>
      </c>
      <c r="N165">
        <v>44601</v>
      </c>
    </row>
    <row r="166" spans="1:14" x14ac:dyDescent="0.35">
      <c r="A166" t="s">
        <v>205</v>
      </c>
      <c r="B166" t="s">
        <v>30</v>
      </c>
      <c r="C166" t="s">
        <v>22</v>
      </c>
      <c r="D166" t="s">
        <v>17</v>
      </c>
      <c r="E166">
        <v>619390</v>
      </c>
      <c r="F166">
        <v>12.3</v>
      </c>
      <c r="G166">
        <v>120</v>
      </c>
      <c r="H166">
        <v>108820</v>
      </c>
      <c r="I166">
        <v>669</v>
      </c>
      <c r="J166" t="s">
        <v>39</v>
      </c>
      <c r="K166">
        <v>9.6</v>
      </c>
      <c r="L166">
        <v>30.6</v>
      </c>
      <c r="M166" t="s">
        <v>23</v>
      </c>
      <c r="N166">
        <v>45477</v>
      </c>
    </row>
    <row r="167" spans="1:14" x14ac:dyDescent="0.35">
      <c r="A167" t="s">
        <v>206</v>
      </c>
      <c r="B167" t="s">
        <v>25</v>
      </c>
      <c r="C167" t="s">
        <v>22</v>
      </c>
      <c r="D167" t="s">
        <v>17</v>
      </c>
      <c r="E167">
        <v>319063</v>
      </c>
      <c r="F167">
        <v>12.5</v>
      </c>
      <c r="G167">
        <v>120</v>
      </c>
      <c r="H167">
        <v>127515</v>
      </c>
      <c r="I167">
        <v>805</v>
      </c>
      <c r="J167" t="s">
        <v>18</v>
      </c>
      <c r="K167">
        <v>22.9</v>
      </c>
      <c r="L167">
        <v>36.6</v>
      </c>
      <c r="M167" t="s">
        <v>19</v>
      </c>
      <c r="N167">
        <v>44873</v>
      </c>
    </row>
    <row r="168" spans="1:14" x14ac:dyDescent="0.35">
      <c r="A168" t="s">
        <v>207</v>
      </c>
      <c r="B168" t="s">
        <v>30</v>
      </c>
      <c r="C168" t="s">
        <v>16</v>
      </c>
      <c r="D168" t="s">
        <v>38</v>
      </c>
      <c r="E168">
        <v>628729</v>
      </c>
      <c r="F168">
        <v>13.74</v>
      </c>
      <c r="G168">
        <v>60</v>
      </c>
      <c r="H168">
        <v>37121</v>
      </c>
      <c r="I168">
        <v>737</v>
      </c>
      <c r="J168" t="s">
        <v>18</v>
      </c>
      <c r="K168">
        <v>19</v>
      </c>
      <c r="L168">
        <v>45.5</v>
      </c>
      <c r="M168" t="s">
        <v>23</v>
      </c>
      <c r="N168">
        <v>44785</v>
      </c>
    </row>
    <row r="169" spans="1:14" x14ac:dyDescent="0.35">
      <c r="A169" t="s">
        <v>208</v>
      </c>
      <c r="B169" t="s">
        <v>30</v>
      </c>
      <c r="C169" t="s">
        <v>22</v>
      </c>
      <c r="D169" t="s">
        <v>32</v>
      </c>
      <c r="E169">
        <v>163175</v>
      </c>
      <c r="F169">
        <v>9.35</v>
      </c>
      <c r="G169">
        <v>240</v>
      </c>
      <c r="H169">
        <v>29539</v>
      </c>
      <c r="I169">
        <v>807</v>
      </c>
      <c r="J169" t="s">
        <v>18</v>
      </c>
      <c r="K169">
        <v>12.6</v>
      </c>
      <c r="L169">
        <v>44.5</v>
      </c>
      <c r="M169" t="s">
        <v>55</v>
      </c>
      <c r="N169">
        <v>44754</v>
      </c>
    </row>
    <row r="170" spans="1:14" x14ac:dyDescent="0.35">
      <c r="A170" t="s">
        <v>209</v>
      </c>
      <c r="B170" t="s">
        <v>30</v>
      </c>
      <c r="C170" t="s">
        <v>16</v>
      </c>
      <c r="D170" t="s">
        <v>17</v>
      </c>
      <c r="E170">
        <v>254877</v>
      </c>
      <c r="F170">
        <v>5.46</v>
      </c>
      <c r="G170">
        <v>300</v>
      </c>
      <c r="H170">
        <v>176099</v>
      </c>
      <c r="I170">
        <v>705</v>
      </c>
      <c r="J170" t="s">
        <v>18</v>
      </c>
      <c r="K170">
        <v>24.7</v>
      </c>
      <c r="L170">
        <v>45.8</v>
      </c>
      <c r="M170" t="s">
        <v>23</v>
      </c>
      <c r="N170">
        <v>45101</v>
      </c>
    </row>
    <row r="171" spans="1:14" x14ac:dyDescent="0.35">
      <c r="A171" t="s">
        <v>210</v>
      </c>
      <c r="B171" t="s">
        <v>28</v>
      </c>
      <c r="C171" t="s">
        <v>22</v>
      </c>
      <c r="D171" t="s">
        <v>32</v>
      </c>
      <c r="E171">
        <v>141917</v>
      </c>
      <c r="F171">
        <v>10.17</v>
      </c>
      <c r="G171">
        <v>48</v>
      </c>
      <c r="H171">
        <v>155402</v>
      </c>
      <c r="I171">
        <v>788</v>
      </c>
      <c r="J171" t="s">
        <v>39</v>
      </c>
      <c r="K171">
        <v>11.6</v>
      </c>
      <c r="L171">
        <v>17.8</v>
      </c>
      <c r="M171" t="s">
        <v>55</v>
      </c>
      <c r="N171">
        <v>45267</v>
      </c>
    </row>
    <row r="172" spans="1:14" x14ac:dyDescent="0.35">
      <c r="A172" t="s">
        <v>211</v>
      </c>
      <c r="B172" t="s">
        <v>28</v>
      </c>
      <c r="C172" t="s">
        <v>16</v>
      </c>
      <c r="D172" t="s">
        <v>32</v>
      </c>
      <c r="E172">
        <v>222770</v>
      </c>
      <c r="F172">
        <v>11.59</v>
      </c>
      <c r="G172">
        <v>240</v>
      </c>
      <c r="H172">
        <v>102229</v>
      </c>
      <c r="I172">
        <v>676</v>
      </c>
      <c r="J172" t="s">
        <v>26</v>
      </c>
      <c r="K172">
        <v>1.5</v>
      </c>
      <c r="L172">
        <v>13.3</v>
      </c>
      <c r="M172" t="s">
        <v>55</v>
      </c>
      <c r="N172">
        <v>45433</v>
      </c>
    </row>
    <row r="173" spans="1:14" x14ac:dyDescent="0.35">
      <c r="A173" t="s">
        <v>212</v>
      </c>
      <c r="B173" t="s">
        <v>30</v>
      </c>
      <c r="C173" t="s">
        <v>34</v>
      </c>
      <c r="D173" t="s">
        <v>38</v>
      </c>
      <c r="E173">
        <v>647613</v>
      </c>
      <c r="F173">
        <v>11.54</v>
      </c>
      <c r="G173">
        <v>240</v>
      </c>
      <c r="H173">
        <v>167993</v>
      </c>
      <c r="I173">
        <v>653</v>
      </c>
      <c r="J173" t="s">
        <v>26</v>
      </c>
      <c r="K173">
        <v>6.6</v>
      </c>
      <c r="L173">
        <v>20.100000000000001</v>
      </c>
      <c r="M173" t="s">
        <v>23</v>
      </c>
      <c r="N173">
        <v>44675</v>
      </c>
    </row>
    <row r="174" spans="1:14" x14ac:dyDescent="0.35">
      <c r="A174" t="s">
        <v>213</v>
      </c>
      <c r="B174" t="s">
        <v>15</v>
      </c>
      <c r="C174" t="s">
        <v>16</v>
      </c>
      <c r="D174" t="s">
        <v>73</v>
      </c>
      <c r="E174">
        <v>548625</v>
      </c>
      <c r="F174">
        <v>9.09</v>
      </c>
      <c r="G174">
        <v>36</v>
      </c>
      <c r="H174">
        <v>78435</v>
      </c>
      <c r="I174">
        <v>694</v>
      </c>
      <c r="J174" t="s">
        <v>18</v>
      </c>
      <c r="K174">
        <v>10.9</v>
      </c>
      <c r="L174">
        <v>43.8</v>
      </c>
      <c r="M174" t="s">
        <v>23</v>
      </c>
      <c r="N174">
        <v>44683</v>
      </c>
    </row>
    <row r="175" spans="1:14" x14ac:dyDescent="0.35">
      <c r="A175" t="s">
        <v>214</v>
      </c>
      <c r="B175" t="s">
        <v>30</v>
      </c>
      <c r="C175" t="s">
        <v>22</v>
      </c>
      <c r="D175" t="s">
        <v>52</v>
      </c>
      <c r="E175">
        <v>682673</v>
      </c>
      <c r="F175">
        <v>3.97</v>
      </c>
      <c r="G175">
        <v>240</v>
      </c>
      <c r="H175">
        <v>169382</v>
      </c>
      <c r="I175">
        <v>770</v>
      </c>
      <c r="J175" t="s">
        <v>39</v>
      </c>
      <c r="K175">
        <v>3.9</v>
      </c>
      <c r="L175">
        <v>46.9</v>
      </c>
      <c r="M175" t="s">
        <v>23</v>
      </c>
      <c r="N175">
        <v>44762</v>
      </c>
    </row>
    <row r="176" spans="1:14" x14ac:dyDescent="0.35">
      <c r="A176" t="s">
        <v>215</v>
      </c>
      <c r="B176" t="s">
        <v>28</v>
      </c>
      <c r="C176" t="s">
        <v>22</v>
      </c>
      <c r="D176" t="s">
        <v>38</v>
      </c>
      <c r="E176">
        <v>345093</v>
      </c>
      <c r="F176">
        <v>7.39</v>
      </c>
      <c r="G176">
        <v>36</v>
      </c>
      <c r="H176">
        <v>91965</v>
      </c>
      <c r="I176">
        <v>749</v>
      </c>
      <c r="J176" t="s">
        <v>18</v>
      </c>
      <c r="K176">
        <v>23.7</v>
      </c>
      <c r="L176">
        <v>42.4</v>
      </c>
      <c r="M176" t="s">
        <v>55</v>
      </c>
      <c r="N176">
        <v>45562</v>
      </c>
    </row>
    <row r="177" spans="1:14" x14ac:dyDescent="0.35">
      <c r="A177" t="s">
        <v>216</v>
      </c>
      <c r="B177" t="s">
        <v>30</v>
      </c>
      <c r="C177" t="s">
        <v>22</v>
      </c>
      <c r="D177" t="s">
        <v>17</v>
      </c>
      <c r="E177">
        <v>318295</v>
      </c>
      <c r="F177">
        <v>13.6</v>
      </c>
      <c r="G177">
        <v>240</v>
      </c>
      <c r="H177">
        <v>139048</v>
      </c>
      <c r="I177">
        <v>783</v>
      </c>
      <c r="J177" t="s">
        <v>18</v>
      </c>
      <c r="K177">
        <v>19.2</v>
      </c>
      <c r="L177">
        <v>12.4</v>
      </c>
      <c r="M177" t="s">
        <v>23</v>
      </c>
      <c r="N177">
        <v>44720</v>
      </c>
    </row>
    <row r="178" spans="1:14" x14ac:dyDescent="0.35">
      <c r="A178" t="s">
        <v>217</v>
      </c>
      <c r="B178" t="s">
        <v>28</v>
      </c>
      <c r="C178" t="s">
        <v>16</v>
      </c>
      <c r="D178" t="s">
        <v>45</v>
      </c>
      <c r="E178">
        <v>672304</v>
      </c>
      <c r="F178">
        <v>9.8000000000000007</v>
      </c>
      <c r="G178">
        <v>48</v>
      </c>
      <c r="H178">
        <v>124444</v>
      </c>
      <c r="I178">
        <v>635</v>
      </c>
      <c r="J178" t="s">
        <v>18</v>
      </c>
      <c r="K178">
        <v>6.7</v>
      </c>
      <c r="L178">
        <v>45.9</v>
      </c>
      <c r="M178" t="s">
        <v>19</v>
      </c>
      <c r="N178">
        <v>44900</v>
      </c>
    </row>
    <row r="179" spans="1:14" x14ac:dyDescent="0.35">
      <c r="A179" t="s">
        <v>218</v>
      </c>
      <c r="B179" t="s">
        <v>15</v>
      </c>
      <c r="C179" t="s">
        <v>22</v>
      </c>
      <c r="D179" t="s">
        <v>32</v>
      </c>
      <c r="E179">
        <v>610730</v>
      </c>
      <c r="F179">
        <v>9.2799999999999994</v>
      </c>
      <c r="G179">
        <v>36</v>
      </c>
      <c r="H179">
        <v>97922</v>
      </c>
      <c r="I179">
        <v>787</v>
      </c>
      <c r="J179" t="s">
        <v>18</v>
      </c>
      <c r="K179">
        <v>14.8</v>
      </c>
      <c r="L179">
        <v>24.9</v>
      </c>
      <c r="M179" t="s">
        <v>55</v>
      </c>
      <c r="N179">
        <v>45226</v>
      </c>
    </row>
    <row r="180" spans="1:14" x14ac:dyDescent="0.35">
      <c r="A180" t="s">
        <v>219</v>
      </c>
      <c r="B180" t="s">
        <v>71</v>
      </c>
      <c r="C180" t="s">
        <v>22</v>
      </c>
      <c r="D180" t="s">
        <v>17</v>
      </c>
      <c r="E180">
        <v>54847</v>
      </c>
      <c r="F180">
        <v>6.24</v>
      </c>
      <c r="G180">
        <v>12</v>
      </c>
      <c r="H180">
        <v>125799</v>
      </c>
      <c r="I180">
        <v>620</v>
      </c>
      <c r="J180" t="s">
        <v>26</v>
      </c>
      <c r="K180">
        <v>18</v>
      </c>
      <c r="L180">
        <v>8.4</v>
      </c>
      <c r="M180" t="s">
        <v>23</v>
      </c>
      <c r="N180">
        <v>45017</v>
      </c>
    </row>
    <row r="181" spans="1:14" x14ac:dyDescent="0.35">
      <c r="A181" t="s">
        <v>220</v>
      </c>
      <c r="B181" t="s">
        <v>30</v>
      </c>
      <c r="C181" t="s">
        <v>16</v>
      </c>
      <c r="D181" t="s">
        <v>43</v>
      </c>
      <c r="E181">
        <v>63653</v>
      </c>
      <c r="F181">
        <v>7.36</v>
      </c>
      <c r="G181">
        <v>36</v>
      </c>
      <c r="H181">
        <v>121948</v>
      </c>
      <c r="I181">
        <v>611</v>
      </c>
      <c r="J181" t="s">
        <v>18</v>
      </c>
      <c r="K181">
        <v>23.5</v>
      </c>
      <c r="L181">
        <v>25.7</v>
      </c>
      <c r="M181" t="s">
        <v>19</v>
      </c>
      <c r="N181">
        <v>45364</v>
      </c>
    </row>
    <row r="182" spans="1:14" x14ac:dyDescent="0.35">
      <c r="A182" t="s">
        <v>221</v>
      </c>
      <c r="B182" t="s">
        <v>30</v>
      </c>
      <c r="C182" t="s">
        <v>22</v>
      </c>
      <c r="D182" t="s">
        <v>17</v>
      </c>
      <c r="E182">
        <v>746432</v>
      </c>
      <c r="F182">
        <v>13.32</v>
      </c>
      <c r="G182">
        <v>36</v>
      </c>
      <c r="H182">
        <v>171314</v>
      </c>
      <c r="I182">
        <v>594</v>
      </c>
      <c r="J182" t="s">
        <v>18</v>
      </c>
      <c r="K182">
        <v>22</v>
      </c>
      <c r="L182">
        <v>9.8000000000000007</v>
      </c>
      <c r="M182" t="s">
        <v>23</v>
      </c>
      <c r="N182">
        <v>45054</v>
      </c>
    </row>
    <row r="183" spans="1:14" x14ac:dyDescent="0.35">
      <c r="A183" t="s">
        <v>222</v>
      </c>
      <c r="B183" t="s">
        <v>30</v>
      </c>
      <c r="C183" t="s">
        <v>16</v>
      </c>
      <c r="D183" t="s">
        <v>73</v>
      </c>
      <c r="E183">
        <v>323766</v>
      </c>
      <c r="F183">
        <v>10.73</v>
      </c>
      <c r="G183">
        <v>48</v>
      </c>
      <c r="H183">
        <v>36947</v>
      </c>
      <c r="I183">
        <v>641</v>
      </c>
      <c r="J183" t="s">
        <v>18</v>
      </c>
      <c r="K183">
        <v>12.9</v>
      </c>
      <c r="L183">
        <v>29.8</v>
      </c>
      <c r="M183" t="s">
        <v>23</v>
      </c>
      <c r="N183">
        <v>45481</v>
      </c>
    </row>
    <row r="184" spans="1:14" x14ac:dyDescent="0.35">
      <c r="A184" t="s">
        <v>223</v>
      </c>
      <c r="B184" t="s">
        <v>71</v>
      </c>
      <c r="C184" t="s">
        <v>22</v>
      </c>
      <c r="D184" t="s">
        <v>32</v>
      </c>
      <c r="E184">
        <v>294954</v>
      </c>
      <c r="F184">
        <v>12.1</v>
      </c>
      <c r="G184">
        <v>48</v>
      </c>
      <c r="H184">
        <v>76785</v>
      </c>
      <c r="I184">
        <v>734</v>
      </c>
      <c r="J184" t="s">
        <v>18</v>
      </c>
      <c r="K184">
        <v>19.399999999999999</v>
      </c>
      <c r="L184">
        <v>21.5</v>
      </c>
      <c r="M184" t="s">
        <v>19</v>
      </c>
      <c r="N184">
        <v>44781</v>
      </c>
    </row>
    <row r="185" spans="1:14" x14ac:dyDescent="0.35">
      <c r="A185" t="s">
        <v>224</v>
      </c>
      <c r="B185" t="s">
        <v>37</v>
      </c>
      <c r="C185" t="s">
        <v>22</v>
      </c>
      <c r="D185" t="s">
        <v>45</v>
      </c>
      <c r="E185">
        <v>82842</v>
      </c>
      <c r="F185">
        <v>8.33</v>
      </c>
      <c r="G185">
        <v>36</v>
      </c>
      <c r="H185">
        <v>147963</v>
      </c>
      <c r="I185">
        <v>788</v>
      </c>
      <c r="J185" t="s">
        <v>18</v>
      </c>
      <c r="K185">
        <v>14.1</v>
      </c>
      <c r="L185">
        <v>26.9</v>
      </c>
      <c r="M185" t="s">
        <v>23</v>
      </c>
      <c r="N185">
        <v>44882</v>
      </c>
    </row>
    <row r="186" spans="1:14" x14ac:dyDescent="0.35">
      <c r="A186" t="s">
        <v>225</v>
      </c>
      <c r="B186" t="s">
        <v>30</v>
      </c>
      <c r="C186" t="s">
        <v>16</v>
      </c>
      <c r="D186" t="s">
        <v>45</v>
      </c>
      <c r="E186">
        <v>277647</v>
      </c>
      <c r="F186">
        <v>10.32</v>
      </c>
      <c r="G186">
        <v>300</v>
      </c>
      <c r="H186">
        <v>28507</v>
      </c>
      <c r="I186">
        <v>766</v>
      </c>
      <c r="J186" t="s">
        <v>18</v>
      </c>
      <c r="K186">
        <v>13.8</v>
      </c>
      <c r="L186">
        <v>32.5</v>
      </c>
      <c r="M186" t="s">
        <v>23</v>
      </c>
      <c r="N186">
        <v>44428</v>
      </c>
    </row>
    <row r="187" spans="1:14" x14ac:dyDescent="0.35">
      <c r="A187" t="s">
        <v>226</v>
      </c>
      <c r="B187" t="s">
        <v>28</v>
      </c>
      <c r="C187" t="s">
        <v>22</v>
      </c>
      <c r="D187" t="s">
        <v>73</v>
      </c>
      <c r="E187">
        <v>89761</v>
      </c>
      <c r="F187">
        <v>6.01</v>
      </c>
      <c r="G187">
        <v>24</v>
      </c>
      <c r="H187">
        <v>186223</v>
      </c>
      <c r="I187">
        <v>709</v>
      </c>
      <c r="J187" t="s">
        <v>39</v>
      </c>
      <c r="K187">
        <v>2.9</v>
      </c>
      <c r="L187">
        <v>42.8</v>
      </c>
      <c r="M187" t="s">
        <v>55</v>
      </c>
      <c r="N187">
        <v>44466</v>
      </c>
    </row>
    <row r="188" spans="1:14" x14ac:dyDescent="0.35">
      <c r="A188" t="s">
        <v>227</v>
      </c>
      <c r="B188" t="s">
        <v>25</v>
      </c>
      <c r="C188" t="s">
        <v>16</v>
      </c>
      <c r="D188" t="s">
        <v>45</v>
      </c>
      <c r="E188">
        <v>435192</v>
      </c>
      <c r="F188">
        <v>11.17</v>
      </c>
      <c r="G188">
        <v>300</v>
      </c>
      <c r="H188">
        <v>39618</v>
      </c>
      <c r="I188">
        <v>706</v>
      </c>
      <c r="J188" t="s">
        <v>18</v>
      </c>
      <c r="K188">
        <v>3.2</v>
      </c>
      <c r="L188">
        <v>34.5</v>
      </c>
      <c r="M188" t="s">
        <v>23</v>
      </c>
      <c r="N188">
        <v>45136</v>
      </c>
    </row>
    <row r="189" spans="1:14" x14ac:dyDescent="0.35">
      <c r="A189" t="s">
        <v>228</v>
      </c>
      <c r="B189" t="s">
        <v>15</v>
      </c>
      <c r="C189" t="s">
        <v>22</v>
      </c>
      <c r="D189" t="s">
        <v>45</v>
      </c>
      <c r="E189">
        <v>521637</v>
      </c>
      <c r="F189">
        <v>8.0299999999999994</v>
      </c>
      <c r="G189">
        <v>48</v>
      </c>
      <c r="H189">
        <v>102286</v>
      </c>
      <c r="I189">
        <v>693</v>
      </c>
      <c r="J189" t="s">
        <v>18</v>
      </c>
      <c r="K189">
        <v>13.2</v>
      </c>
      <c r="L189">
        <v>25.4</v>
      </c>
      <c r="M189" t="s">
        <v>48</v>
      </c>
      <c r="N189">
        <v>45070</v>
      </c>
    </row>
    <row r="190" spans="1:14" x14ac:dyDescent="0.35">
      <c r="A190" t="s">
        <v>229</v>
      </c>
      <c r="B190" t="s">
        <v>15</v>
      </c>
      <c r="C190" t="s">
        <v>22</v>
      </c>
      <c r="D190" t="s">
        <v>17</v>
      </c>
      <c r="E190">
        <v>671246</v>
      </c>
      <c r="F190">
        <v>8.1999999999999993</v>
      </c>
      <c r="G190">
        <v>300</v>
      </c>
      <c r="H190">
        <v>44122</v>
      </c>
      <c r="I190">
        <v>778</v>
      </c>
      <c r="J190" t="s">
        <v>18</v>
      </c>
      <c r="K190">
        <v>6.7</v>
      </c>
      <c r="L190">
        <v>40.799999999999997</v>
      </c>
      <c r="M190" t="s">
        <v>48</v>
      </c>
      <c r="N190">
        <v>45442</v>
      </c>
    </row>
    <row r="191" spans="1:14" x14ac:dyDescent="0.35">
      <c r="A191" t="s">
        <v>230</v>
      </c>
      <c r="B191" t="s">
        <v>30</v>
      </c>
      <c r="C191" t="s">
        <v>34</v>
      </c>
      <c r="D191" t="s">
        <v>32</v>
      </c>
      <c r="E191">
        <v>333768</v>
      </c>
      <c r="F191">
        <v>10.54</v>
      </c>
      <c r="G191">
        <v>300</v>
      </c>
      <c r="H191">
        <v>166426</v>
      </c>
      <c r="I191">
        <v>592</v>
      </c>
      <c r="J191" t="s">
        <v>26</v>
      </c>
      <c r="K191">
        <v>0.5</v>
      </c>
      <c r="L191">
        <v>44.2</v>
      </c>
      <c r="M191" t="s">
        <v>23</v>
      </c>
      <c r="N191">
        <v>44248</v>
      </c>
    </row>
    <row r="192" spans="1:14" x14ac:dyDescent="0.35">
      <c r="A192" t="s">
        <v>231</v>
      </c>
      <c r="B192" t="s">
        <v>30</v>
      </c>
      <c r="C192" t="s">
        <v>16</v>
      </c>
      <c r="D192" t="s">
        <v>17</v>
      </c>
      <c r="E192">
        <v>693152</v>
      </c>
      <c r="F192">
        <v>13.78</v>
      </c>
      <c r="G192">
        <v>60</v>
      </c>
      <c r="H192">
        <v>137598</v>
      </c>
      <c r="I192">
        <v>668</v>
      </c>
      <c r="J192" t="s">
        <v>18</v>
      </c>
      <c r="K192">
        <v>18.100000000000001</v>
      </c>
      <c r="L192">
        <v>12.8</v>
      </c>
      <c r="M192" t="s">
        <v>23</v>
      </c>
      <c r="N192">
        <v>44312</v>
      </c>
    </row>
    <row r="193" spans="1:14" x14ac:dyDescent="0.35">
      <c r="A193" t="s">
        <v>232</v>
      </c>
      <c r="B193" t="s">
        <v>83</v>
      </c>
      <c r="C193" t="s">
        <v>16</v>
      </c>
      <c r="D193" t="s">
        <v>38</v>
      </c>
      <c r="E193">
        <v>407980</v>
      </c>
      <c r="F193">
        <v>3.92</v>
      </c>
      <c r="G193">
        <v>60</v>
      </c>
      <c r="H193">
        <v>190051</v>
      </c>
      <c r="I193">
        <v>794</v>
      </c>
      <c r="J193" t="s">
        <v>18</v>
      </c>
      <c r="K193">
        <v>0.8</v>
      </c>
      <c r="L193">
        <v>29.3</v>
      </c>
      <c r="M193" t="s">
        <v>19</v>
      </c>
      <c r="N193">
        <v>44734</v>
      </c>
    </row>
    <row r="194" spans="1:14" x14ac:dyDescent="0.35">
      <c r="A194" t="s">
        <v>233</v>
      </c>
      <c r="B194" t="s">
        <v>83</v>
      </c>
      <c r="C194" t="s">
        <v>22</v>
      </c>
      <c r="D194" t="s">
        <v>32</v>
      </c>
      <c r="E194">
        <v>125356</v>
      </c>
      <c r="F194">
        <v>12.52</v>
      </c>
      <c r="G194">
        <v>12</v>
      </c>
      <c r="H194">
        <v>114436</v>
      </c>
      <c r="I194">
        <v>782</v>
      </c>
      <c r="J194" t="s">
        <v>18</v>
      </c>
      <c r="K194">
        <v>14.9</v>
      </c>
      <c r="L194">
        <v>19.399999999999999</v>
      </c>
      <c r="M194" t="s">
        <v>23</v>
      </c>
      <c r="N194">
        <v>44737</v>
      </c>
    </row>
    <row r="195" spans="1:14" x14ac:dyDescent="0.35">
      <c r="A195" t="s">
        <v>234</v>
      </c>
      <c r="B195" t="s">
        <v>28</v>
      </c>
      <c r="C195" t="s">
        <v>16</v>
      </c>
      <c r="D195" t="s">
        <v>45</v>
      </c>
      <c r="E195">
        <v>222228</v>
      </c>
      <c r="F195">
        <v>6.5</v>
      </c>
      <c r="G195">
        <v>240</v>
      </c>
      <c r="H195">
        <v>211846</v>
      </c>
      <c r="I195">
        <v>653</v>
      </c>
      <c r="J195" t="s">
        <v>18</v>
      </c>
      <c r="K195">
        <v>13.5</v>
      </c>
      <c r="L195">
        <v>9.9</v>
      </c>
      <c r="M195" t="s">
        <v>23</v>
      </c>
      <c r="N195">
        <v>45239</v>
      </c>
    </row>
    <row r="196" spans="1:14" x14ac:dyDescent="0.35">
      <c r="A196" t="s">
        <v>235</v>
      </c>
      <c r="B196" t="s">
        <v>30</v>
      </c>
      <c r="C196" t="s">
        <v>22</v>
      </c>
      <c r="D196" t="s">
        <v>17</v>
      </c>
      <c r="E196">
        <v>47727</v>
      </c>
      <c r="F196">
        <v>8.2200000000000006</v>
      </c>
      <c r="G196">
        <v>36</v>
      </c>
      <c r="H196">
        <v>164109</v>
      </c>
      <c r="I196">
        <v>604</v>
      </c>
      <c r="J196" t="s">
        <v>18</v>
      </c>
      <c r="K196">
        <v>24.2</v>
      </c>
      <c r="L196">
        <v>34.700000000000003</v>
      </c>
      <c r="M196" t="s">
        <v>19</v>
      </c>
      <c r="N196">
        <v>45011</v>
      </c>
    </row>
    <row r="197" spans="1:14" x14ac:dyDescent="0.35">
      <c r="A197" t="s">
        <v>236</v>
      </c>
      <c r="B197" t="s">
        <v>30</v>
      </c>
      <c r="C197" t="s">
        <v>22</v>
      </c>
      <c r="D197" t="s">
        <v>17</v>
      </c>
      <c r="E197">
        <v>345615</v>
      </c>
      <c r="F197">
        <v>3.45</v>
      </c>
      <c r="G197">
        <v>24</v>
      </c>
      <c r="H197">
        <v>56633</v>
      </c>
      <c r="I197">
        <v>680</v>
      </c>
      <c r="J197" t="s">
        <v>26</v>
      </c>
      <c r="K197">
        <v>12.1</v>
      </c>
      <c r="L197">
        <v>42.5</v>
      </c>
      <c r="M197" t="s">
        <v>23</v>
      </c>
      <c r="N197">
        <v>45612</v>
      </c>
    </row>
    <row r="198" spans="1:14" x14ac:dyDescent="0.35">
      <c r="A198" t="s">
        <v>237</v>
      </c>
      <c r="B198" t="s">
        <v>28</v>
      </c>
      <c r="C198" t="s">
        <v>34</v>
      </c>
      <c r="D198" t="s">
        <v>38</v>
      </c>
      <c r="E198">
        <v>537356</v>
      </c>
      <c r="F198">
        <v>6.6</v>
      </c>
      <c r="G198">
        <v>12</v>
      </c>
      <c r="H198">
        <v>52495</v>
      </c>
      <c r="I198">
        <v>755</v>
      </c>
      <c r="J198" t="s">
        <v>26</v>
      </c>
      <c r="K198">
        <v>1.6</v>
      </c>
      <c r="L198">
        <v>14.5</v>
      </c>
      <c r="M198" t="s">
        <v>55</v>
      </c>
      <c r="N198">
        <v>44987</v>
      </c>
    </row>
    <row r="199" spans="1:14" x14ac:dyDescent="0.35">
      <c r="A199" t="s">
        <v>238</v>
      </c>
      <c r="B199" t="s">
        <v>83</v>
      </c>
      <c r="C199" t="s">
        <v>22</v>
      </c>
      <c r="D199" t="s">
        <v>17</v>
      </c>
      <c r="E199">
        <v>646211</v>
      </c>
      <c r="F199">
        <v>8.8800000000000008</v>
      </c>
      <c r="G199">
        <v>36</v>
      </c>
      <c r="H199">
        <v>92550</v>
      </c>
      <c r="I199">
        <v>696</v>
      </c>
      <c r="J199" t="s">
        <v>18</v>
      </c>
      <c r="K199">
        <v>13.8</v>
      </c>
      <c r="L199">
        <v>40.5</v>
      </c>
      <c r="M199" t="s">
        <v>23</v>
      </c>
      <c r="N199">
        <v>44814</v>
      </c>
    </row>
    <row r="200" spans="1:14" x14ac:dyDescent="0.35">
      <c r="A200" t="s">
        <v>239</v>
      </c>
      <c r="B200" t="s">
        <v>37</v>
      </c>
      <c r="C200" t="s">
        <v>34</v>
      </c>
      <c r="D200" t="s">
        <v>17</v>
      </c>
      <c r="E200">
        <v>405511</v>
      </c>
      <c r="F200">
        <v>3.83</v>
      </c>
      <c r="G200">
        <v>300</v>
      </c>
      <c r="H200">
        <v>64483</v>
      </c>
      <c r="I200">
        <v>745</v>
      </c>
      <c r="J200" t="s">
        <v>26</v>
      </c>
      <c r="K200">
        <v>21</v>
      </c>
      <c r="L200">
        <v>42.1</v>
      </c>
      <c r="M200" t="s">
        <v>23</v>
      </c>
      <c r="N200">
        <v>44615</v>
      </c>
    </row>
    <row r="201" spans="1:14" x14ac:dyDescent="0.35">
      <c r="A201" t="s">
        <v>240</v>
      </c>
      <c r="B201" t="s">
        <v>25</v>
      </c>
      <c r="C201" t="s">
        <v>22</v>
      </c>
      <c r="D201" t="s">
        <v>17</v>
      </c>
      <c r="E201">
        <v>439376</v>
      </c>
      <c r="F201">
        <v>8.75</v>
      </c>
      <c r="G201">
        <v>48</v>
      </c>
      <c r="H201">
        <v>141181</v>
      </c>
      <c r="I201">
        <v>620</v>
      </c>
      <c r="J201" t="s">
        <v>26</v>
      </c>
      <c r="K201">
        <v>24.9</v>
      </c>
      <c r="L201">
        <v>44.6</v>
      </c>
      <c r="M201" t="s">
        <v>23</v>
      </c>
      <c r="N201">
        <v>44505</v>
      </c>
    </row>
    <row r="202" spans="1:14" x14ac:dyDescent="0.35">
      <c r="A202" t="s">
        <v>241</v>
      </c>
      <c r="B202" t="s">
        <v>28</v>
      </c>
      <c r="C202" t="s">
        <v>22</v>
      </c>
      <c r="D202" t="s">
        <v>52</v>
      </c>
      <c r="E202">
        <v>16390</v>
      </c>
      <c r="F202">
        <v>13.68</v>
      </c>
      <c r="G202">
        <v>60</v>
      </c>
      <c r="H202">
        <v>62069</v>
      </c>
      <c r="I202">
        <v>699</v>
      </c>
      <c r="J202" t="s">
        <v>18</v>
      </c>
      <c r="K202">
        <v>10.8</v>
      </c>
      <c r="L202">
        <v>18.600000000000001</v>
      </c>
      <c r="M202" t="s">
        <v>48</v>
      </c>
      <c r="N202">
        <v>45060</v>
      </c>
    </row>
    <row r="203" spans="1:14" x14ac:dyDescent="0.35">
      <c r="A203" t="s">
        <v>242</v>
      </c>
      <c r="B203" t="s">
        <v>30</v>
      </c>
      <c r="C203" t="s">
        <v>16</v>
      </c>
      <c r="D203" t="s">
        <v>38</v>
      </c>
      <c r="E203">
        <v>636040</v>
      </c>
      <c r="F203">
        <v>4.3899999999999997</v>
      </c>
      <c r="G203">
        <v>120</v>
      </c>
      <c r="H203">
        <v>166442</v>
      </c>
      <c r="I203">
        <v>676</v>
      </c>
      <c r="J203" t="s">
        <v>18</v>
      </c>
      <c r="K203">
        <v>8</v>
      </c>
      <c r="L203">
        <v>44.2</v>
      </c>
      <c r="M203" t="s">
        <v>19</v>
      </c>
      <c r="N203">
        <v>44382</v>
      </c>
    </row>
    <row r="204" spans="1:14" x14ac:dyDescent="0.35">
      <c r="A204" t="s">
        <v>243</v>
      </c>
      <c r="B204" t="s">
        <v>30</v>
      </c>
      <c r="C204" t="s">
        <v>34</v>
      </c>
      <c r="D204" t="s">
        <v>17</v>
      </c>
      <c r="E204">
        <v>361898</v>
      </c>
      <c r="F204">
        <v>11.84</v>
      </c>
      <c r="G204">
        <v>24</v>
      </c>
      <c r="H204">
        <v>147873</v>
      </c>
      <c r="I204">
        <v>724</v>
      </c>
      <c r="J204" t="s">
        <v>18</v>
      </c>
      <c r="K204">
        <v>22.7</v>
      </c>
      <c r="L204">
        <v>20.8</v>
      </c>
      <c r="M204" t="s">
        <v>55</v>
      </c>
      <c r="N204">
        <v>44457</v>
      </c>
    </row>
    <row r="205" spans="1:14" x14ac:dyDescent="0.35">
      <c r="A205" t="s">
        <v>244</v>
      </c>
      <c r="B205" t="s">
        <v>83</v>
      </c>
      <c r="C205" t="s">
        <v>16</v>
      </c>
      <c r="D205" t="s">
        <v>17</v>
      </c>
      <c r="E205">
        <v>343113</v>
      </c>
      <c r="F205">
        <v>7.83</v>
      </c>
      <c r="G205">
        <v>300</v>
      </c>
      <c r="H205">
        <v>144843</v>
      </c>
      <c r="I205">
        <v>795</v>
      </c>
      <c r="J205" t="s">
        <v>18</v>
      </c>
      <c r="K205">
        <v>4.8</v>
      </c>
      <c r="L205">
        <v>30.1</v>
      </c>
      <c r="M205" t="s">
        <v>23</v>
      </c>
      <c r="N205">
        <v>45493</v>
      </c>
    </row>
    <row r="206" spans="1:14" x14ac:dyDescent="0.35">
      <c r="A206" t="s">
        <v>245</v>
      </c>
      <c r="B206" t="s">
        <v>28</v>
      </c>
      <c r="C206" t="s">
        <v>34</v>
      </c>
      <c r="D206" t="s">
        <v>17</v>
      </c>
      <c r="E206">
        <v>675398</v>
      </c>
      <c r="F206">
        <v>10.6</v>
      </c>
      <c r="G206">
        <v>120</v>
      </c>
      <c r="H206">
        <v>99947</v>
      </c>
      <c r="I206">
        <v>808</v>
      </c>
      <c r="J206" t="s">
        <v>26</v>
      </c>
      <c r="K206">
        <v>15.4</v>
      </c>
      <c r="L206">
        <v>10</v>
      </c>
      <c r="M206" t="s">
        <v>23</v>
      </c>
      <c r="N206">
        <v>44356</v>
      </c>
    </row>
    <row r="207" spans="1:14" x14ac:dyDescent="0.35">
      <c r="A207" t="s">
        <v>246</v>
      </c>
      <c r="B207" t="s">
        <v>30</v>
      </c>
      <c r="C207" t="s">
        <v>16</v>
      </c>
      <c r="D207" t="s">
        <v>38</v>
      </c>
      <c r="E207">
        <v>344208</v>
      </c>
      <c r="F207">
        <v>6.14</v>
      </c>
      <c r="G207">
        <v>60</v>
      </c>
      <c r="H207">
        <v>198205</v>
      </c>
      <c r="I207">
        <v>709</v>
      </c>
      <c r="J207" t="s">
        <v>39</v>
      </c>
      <c r="K207">
        <v>10.1</v>
      </c>
      <c r="L207">
        <v>9.8000000000000007</v>
      </c>
      <c r="M207" t="s">
        <v>23</v>
      </c>
      <c r="N207">
        <v>45066</v>
      </c>
    </row>
    <row r="208" spans="1:14" x14ac:dyDescent="0.35">
      <c r="A208" t="s">
        <v>247</v>
      </c>
      <c r="B208" t="s">
        <v>30</v>
      </c>
      <c r="C208" t="s">
        <v>16</v>
      </c>
      <c r="D208" t="s">
        <v>45</v>
      </c>
      <c r="E208">
        <v>26281</v>
      </c>
      <c r="F208">
        <v>5</v>
      </c>
      <c r="G208">
        <v>300</v>
      </c>
      <c r="H208">
        <v>123761</v>
      </c>
      <c r="I208">
        <v>716</v>
      </c>
      <c r="J208" t="s">
        <v>35</v>
      </c>
      <c r="K208">
        <v>1</v>
      </c>
      <c r="L208">
        <v>36.799999999999997</v>
      </c>
      <c r="M208" t="s">
        <v>23</v>
      </c>
      <c r="N208">
        <v>44958</v>
      </c>
    </row>
    <row r="209" spans="1:14" x14ac:dyDescent="0.35">
      <c r="A209" t="s">
        <v>248</v>
      </c>
      <c r="B209" t="s">
        <v>28</v>
      </c>
      <c r="C209" t="s">
        <v>34</v>
      </c>
      <c r="D209" t="s">
        <v>17</v>
      </c>
      <c r="E209">
        <v>59189</v>
      </c>
      <c r="F209">
        <v>5.01</v>
      </c>
      <c r="G209">
        <v>240</v>
      </c>
      <c r="H209">
        <v>141753</v>
      </c>
      <c r="I209">
        <v>696</v>
      </c>
      <c r="J209" t="s">
        <v>26</v>
      </c>
      <c r="K209">
        <v>8.6999999999999993</v>
      </c>
      <c r="L209">
        <v>25.8</v>
      </c>
      <c r="M209" t="s">
        <v>19</v>
      </c>
      <c r="N209">
        <v>44420</v>
      </c>
    </row>
    <row r="210" spans="1:14" x14ac:dyDescent="0.35">
      <c r="A210" t="s">
        <v>249</v>
      </c>
      <c r="B210" t="s">
        <v>30</v>
      </c>
      <c r="C210" t="s">
        <v>22</v>
      </c>
      <c r="D210" t="s">
        <v>17</v>
      </c>
      <c r="E210">
        <v>267093</v>
      </c>
      <c r="F210">
        <v>4</v>
      </c>
      <c r="G210">
        <v>240</v>
      </c>
      <c r="H210">
        <v>159764</v>
      </c>
      <c r="I210">
        <v>673</v>
      </c>
      <c r="J210" t="s">
        <v>18</v>
      </c>
      <c r="K210">
        <v>6.6</v>
      </c>
      <c r="L210">
        <v>18.3</v>
      </c>
      <c r="M210" t="s">
        <v>19</v>
      </c>
      <c r="N210">
        <v>45476</v>
      </c>
    </row>
    <row r="211" spans="1:14" x14ac:dyDescent="0.35">
      <c r="A211" t="s">
        <v>250</v>
      </c>
      <c r="B211" t="s">
        <v>30</v>
      </c>
      <c r="C211" t="s">
        <v>22</v>
      </c>
      <c r="D211" t="s">
        <v>17</v>
      </c>
      <c r="E211">
        <v>315655</v>
      </c>
      <c r="F211">
        <v>5.3</v>
      </c>
      <c r="G211">
        <v>120</v>
      </c>
      <c r="H211">
        <v>56926</v>
      </c>
      <c r="I211">
        <v>747</v>
      </c>
      <c r="J211" t="s">
        <v>18</v>
      </c>
      <c r="K211">
        <v>17.2</v>
      </c>
      <c r="L211">
        <v>15.6</v>
      </c>
      <c r="M211" t="s">
        <v>23</v>
      </c>
      <c r="N211">
        <v>44376</v>
      </c>
    </row>
    <row r="212" spans="1:14" x14ac:dyDescent="0.35">
      <c r="A212" t="s">
        <v>251</v>
      </c>
      <c r="B212" t="s">
        <v>15</v>
      </c>
      <c r="C212" t="s">
        <v>22</v>
      </c>
      <c r="D212" t="s">
        <v>45</v>
      </c>
      <c r="E212">
        <v>651403</v>
      </c>
      <c r="F212">
        <v>10.71</v>
      </c>
      <c r="G212">
        <v>48</v>
      </c>
      <c r="H212">
        <v>127782</v>
      </c>
      <c r="I212">
        <v>782</v>
      </c>
      <c r="J212" t="s">
        <v>26</v>
      </c>
      <c r="K212">
        <v>23.7</v>
      </c>
      <c r="L212">
        <v>34.799999999999997</v>
      </c>
      <c r="M212" t="s">
        <v>48</v>
      </c>
      <c r="N212">
        <v>44216</v>
      </c>
    </row>
    <row r="213" spans="1:14" x14ac:dyDescent="0.35">
      <c r="A213" t="s">
        <v>252</v>
      </c>
      <c r="B213" t="s">
        <v>28</v>
      </c>
      <c r="C213" t="s">
        <v>34</v>
      </c>
      <c r="D213" t="s">
        <v>38</v>
      </c>
      <c r="E213">
        <v>537893</v>
      </c>
      <c r="F213">
        <v>13.16</v>
      </c>
      <c r="G213">
        <v>300</v>
      </c>
      <c r="H213">
        <v>132700</v>
      </c>
      <c r="I213">
        <v>728</v>
      </c>
      <c r="J213" t="s">
        <v>18</v>
      </c>
      <c r="K213">
        <v>6.7</v>
      </c>
      <c r="L213">
        <v>8</v>
      </c>
      <c r="M213" t="s">
        <v>23</v>
      </c>
      <c r="N213">
        <v>44828</v>
      </c>
    </row>
    <row r="214" spans="1:14" x14ac:dyDescent="0.35">
      <c r="A214" t="s">
        <v>253</v>
      </c>
      <c r="B214" t="s">
        <v>28</v>
      </c>
      <c r="C214" t="s">
        <v>34</v>
      </c>
      <c r="D214" t="s">
        <v>17</v>
      </c>
      <c r="E214">
        <v>367462</v>
      </c>
      <c r="F214">
        <v>12.4</v>
      </c>
      <c r="G214">
        <v>36</v>
      </c>
      <c r="H214">
        <v>101984</v>
      </c>
      <c r="I214">
        <v>762</v>
      </c>
      <c r="J214" t="s">
        <v>18</v>
      </c>
      <c r="K214">
        <v>20.3</v>
      </c>
      <c r="L214">
        <v>40.200000000000003</v>
      </c>
      <c r="M214" t="s">
        <v>48</v>
      </c>
      <c r="N214">
        <v>45430</v>
      </c>
    </row>
    <row r="215" spans="1:14" x14ac:dyDescent="0.35">
      <c r="A215" t="s">
        <v>254</v>
      </c>
      <c r="B215" t="s">
        <v>30</v>
      </c>
      <c r="C215" t="s">
        <v>22</v>
      </c>
      <c r="D215" t="s">
        <v>17</v>
      </c>
      <c r="E215">
        <v>399597</v>
      </c>
      <c r="F215">
        <v>10.94</v>
      </c>
      <c r="G215">
        <v>300</v>
      </c>
      <c r="H215">
        <v>202462</v>
      </c>
      <c r="I215">
        <v>731</v>
      </c>
      <c r="J215" t="s">
        <v>26</v>
      </c>
      <c r="K215">
        <v>1.4</v>
      </c>
      <c r="L215">
        <v>11.2</v>
      </c>
      <c r="M215" t="s">
        <v>23</v>
      </c>
      <c r="N215">
        <v>44254</v>
      </c>
    </row>
    <row r="216" spans="1:14" x14ac:dyDescent="0.35">
      <c r="A216" t="s">
        <v>255</v>
      </c>
      <c r="B216" t="s">
        <v>28</v>
      </c>
      <c r="C216" t="s">
        <v>16</v>
      </c>
      <c r="D216" t="s">
        <v>17</v>
      </c>
      <c r="E216">
        <v>254415</v>
      </c>
      <c r="F216">
        <v>4.45</v>
      </c>
      <c r="G216">
        <v>48</v>
      </c>
      <c r="H216">
        <v>77593</v>
      </c>
      <c r="I216">
        <v>653</v>
      </c>
      <c r="J216" t="s">
        <v>26</v>
      </c>
      <c r="K216">
        <v>13.5</v>
      </c>
      <c r="L216">
        <v>15.7</v>
      </c>
      <c r="M216" t="s">
        <v>23</v>
      </c>
      <c r="N216">
        <v>45313</v>
      </c>
    </row>
    <row r="217" spans="1:14" x14ac:dyDescent="0.35">
      <c r="A217" t="s">
        <v>256</v>
      </c>
      <c r="B217" t="s">
        <v>30</v>
      </c>
      <c r="C217" t="s">
        <v>34</v>
      </c>
      <c r="D217" t="s">
        <v>52</v>
      </c>
      <c r="E217">
        <v>684682</v>
      </c>
      <c r="F217">
        <v>6.47</v>
      </c>
      <c r="G217">
        <v>300</v>
      </c>
      <c r="H217">
        <v>103609</v>
      </c>
      <c r="I217">
        <v>621</v>
      </c>
      <c r="J217" t="s">
        <v>26</v>
      </c>
      <c r="K217">
        <v>1.8</v>
      </c>
      <c r="L217">
        <v>23.4</v>
      </c>
      <c r="M217" t="s">
        <v>23</v>
      </c>
      <c r="N217">
        <v>45441</v>
      </c>
    </row>
    <row r="218" spans="1:14" x14ac:dyDescent="0.35">
      <c r="A218" t="s">
        <v>257</v>
      </c>
      <c r="B218" t="s">
        <v>30</v>
      </c>
      <c r="C218" t="s">
        <v>22</v>
      </c>
      <c r="D218" t="s">
        <v>17</v>
      </c>
      <c r="E218">
        <v>46869</v>
      </c>
      <c r="F218">
        <v>6.7</v>
      </c>
      <c r="G218">
        <v>120</v>
      </c>
      <c r="H218">
        <v>33209</v>
      </c>
      <c r="I218">
        <v>791</v>
      </c>
      <c r="J218" t="s">
        <v>18</v>
      </c>
      <c r="K218">
        <v>23.4</v>
      </c>
      <c r="L218">
        <v>27.4</v>
      </c>
      <c r="M218" t="s">
        <v>23</v>
      </c>
      <c r="N218">
        <v>44919</v>
      </c>
    </row>
    <row r="219" spans="1:14" x14ac:dyDescent="0.35">
      <c r="A219" t="s">
        <v>258</v>
      </c>
      <c r="B219" t="s">
        <v>25</v>
      </c>
      <c r="C219" t="s">
        <v>16</v>
      </c>
      <c r="D219" t="s">
        <v>38</v>
      </c>
      <c r="E219">
        <v>562243</v>
      </c>
      <c r="F219">
        <v>6.02</v>
      </c>
      <c r="G219">
        <v>48</v>
      </c>
      <c r="H219">
        <v>154700</v>
      </c>
      <c r="I219">
        <v>680</v>
      </c>
      <c r="J219" t="s">
        <v>26</v>
      </c>
      <c r="K219">
        <v>19.2</v>
      </c>
      <c r="L219">
        <v>22.2</v>
      </c>
      <c r="M219" t="s">
        <v>19</v>
      </c>
      <c r="N219">
        <v>45452</v>
      </c>
    </row>
    <row r="220" spans="1:14" x14ac:dyDescent="0.35">
      <c r="A220" t="s">
        <v>259</v>
      </c>
      <c r="B220" t="s">
        <v>28</v>
      </c>
      <c r="C220" t="s">
        <v>34</v>
      </c>
      <c r="D220" t="s">
        <v>45</v>
      </c>
      <c r="E220">
        <v>590676</v>
      </c>
      <c r="F220">
        <v>9.02</v>
      </c>
      <c r="G220">
        <v>60</v>
      </c>
      <c r="H220">
        <v>165605</v>
      </c>
      <c r="I220">
        <v>624</v>
      </c>
      <c r="J220" t="s">
        <v>39</v>
      </c>
      <c r="K220">
        <v>16.399999999999999</v>
      </c>
      <c r="L220">
        <v>20.8</v>
      </c>
      <c r="M220" t="s">
        <v>23</v>
      </c>
      <c r="N220">
        <v>45584</v>
      </c>
    </row>
    <row r="221" spans="1:14" x14ac:dyDescent="0.35">
      <c r="A221" t="s">
        <v>260</v>
      </c>
      <c r="B221" t="s">
        <v>25</v>
      </c>
      <c r="C221" t="s">
        <v>22</v>
      </c>
      <c r="D221" t="s">
        <v>32</v>
      </c>
      <c r="E221">
        <v>15207</v>
      </c>
      <c r="F221">
        <v>9.25</v>
      </c>
      <c r="G221">
        <v>24</v>
      </c>
      <c r="H221">
        <v>114597</v>
      </c>
      <c r="I221">
        <v>661</v>
      </c>
      <c r="J221" t="s">
        <v>18</v>
      </c>
      <c r="K221">
        <v>20.6</v>
      </c>
      <c r="L221">
        <v>46.6</v>
      </c>
      <c r="M221" t="s">
        <v>23</v>
      </c>
      <c r="N221">
        <v>44811</v>
      </c>
    </row>
    <row r="222" spans="1:14" x14ac:dyDescent="0.35">
      <c r="A222" t="s">
        <v>261</v>
      </c>
      <c r="B222" t="s">
        <v>28</v>
      </c>
      <c r="C222" t="s">
        <v>16</v>
      </c>
      <c r="D222" t="s">
        <v>17</v>
      </c>
      <c r="E222">
        <v>223401</v>
      </c>
      <c r="F222">
        <v>7.23</v>
      </c>
      <c r="G222">
        <v>48</v>
      </c>
      <c r="H222">
        <v>35211</v>
      </c>
      <c r="I222">
        <v>596</v>
      </c>
      <c r="J222" t="s">
        <v>26</v>
      </c>
      <c r="K222">
        <v>16.2</v>
      </c>
      <c r="L222">
        <v>33.700000000000003</v>
      </c>
      <c r="M222" t="s">
        <v>19</v>
      </c>
      <c r="N222">
        <v>44758</v>
      </c>
    </row>
    <row r="223" spans="1:14" x14ac:dyDescent="0.35">
      <c r="A223" t="s">
        <v>262</v>
      </c>
      <c r="B223" t="s">
        <v>15</v>
      </c>
      <c r="C223" t="s">
        <v>22</v>
      </c>
      <c r="D223" t="s">
        <v>17</v>
      </c>
      <c r="E223">
        <v>164292</v>
      </c>
      <c r="F223">
        <v>7.2</v>
      </c>
      <c r="G223">
        <v>300</v>
      </c>
      <c r="H223">
        <v>37927</v>
      </c>
      <c r="I223">
        <v>652</v>
      </c>
      <c r="J223" t="s">
        <v>18</v>
      </c>
      <c r="K223">
        <v>24.2</v>
      </c>
      <c r="L223">
        <v>8.9</v>
      </c>
      <c r="M223" t="s">
        <v>19</v>
      </c>
      <c r="N223">
        <v>44570</v>
      </c>
    </row>
    <row r="224" spans="1:14" x14ac:dyDescent="0.35">
      <c r="A224" t="s">
        <v>263</v>
      </c>
      <c r="B224" t="s">
        <v>30</v>
      </c>
      <c r="C224" t="s">
        <v>34</v>
      </c>
      <c r="D224" t="s">
        <v>45</v>
      </c>
      <c r="E224">
        <v>482266</v>
      </c>
      <c r="F224">
        <v>12.56</v>
      </c>
      <c r="G224">
        <v>60</v>
      </c>
      <c r="H224">
        <v>145333</v>
      </c>
      <c r="I224">
        <v>593</v>
      </c>
      <c r="J224" t="s">
        <v>39</v>
      </c>
      <c r="K224">
        <v>17.8</v>
      </c>
      <c r="L224">
        <v>25.2</v>
      </c>
      <c r="M224" t="s">
        <v>55</v>
      </c>
      <c r="N224">
        <v>44818</v>
      </c>
    </row>
    <row r="225" spans="1:14" x14ac:dyDescent="0.35">
      <c r="A225" t="s">
        <v>264</v>
      </c>
      <c r="B225" t="s">
        <v>15</v>
      </c>
      <c r="C225" t="s">
        <v>34</v>
      </c>
      <c r="D225" t="s">
        <v>38</v>
      </c>
      <c r="E225">
        <v>501762</v>
      </c>
      <c r="F225">
        <v>12.12</v>
      </c>
      <c r="G225">
        <v>24</v>
      </c>
      <c r="H225">
        <v>183666</v>
      </c>
      <c r="I225">
        <v>736</v>
      </c>
      <c r="J225" t="s">
        <v>18</v>
      </c>
      <c r="K225">
        <v>23.1</v>
      </c>
      <c r="L225">
        <v>43</v>
      </c>
      <c r="M225" t="s">
        <v>23</v>
      </c>
      <c r="N225">
        <v>44284</v>
      </c>
    </row>
    <row r="226" spans="1:14" x14ac:dyDescent="0.35">
      <c r="A226" t="s">
        <v>265</v>
      </c>
      <c r="B226" t="s">
        <v>30</v>
      </c>
      <c r="C226" t="s">
        <v>34</v>
      </c>
      <c r="D226" t="s">
        <v>45</v>
      </c>
      <c r="E226">
        <v>210157</v>
      </c>
      <c r="F226">
        <v>6.68</v>
      </c>
      <c r="G226">
        <v>240</v>
      </c>
      <c r="H226">
        <v>104382</v>
      </c>
      <c r="I226">
        <v>802</v>
      </c>
      <c r="J226" t="s">
        <v>18</v>
      </c>
      <c r="K226">
        <v>12.9</v>
      </c>
      <c r="L226">
        <v>20.100000000000001</v>
      </c>
      <c r="M226" t="s">
        <v>19</v>
      </c>
      <c r="N226">
        <v>45240</v>
      </c>
    </row>
    <row r="227" spans="1:14" x14ac:dyDescent="0.35">
      <c r="A227" t="s">
        <v>266</v>
      </c>
      <c r="B227" t="s">
        <v>30</v>
      </c>
      <c r="C227" t="s">
        <v>22</v>
      </c>
      <c r="D227" t="s">
        <v>32</v>
      </c>
      <c r="E227">
        <v>27031</v>
      </c>
      <c r="F227">
        <v>13.53</v>
      </c>
      <c r="G227">
        <v>36</v>
      </c>
      <c r="H227">
        <v>167005</v>
      </c>
      <c r="I227">
        <v>711</v>
      </c>
      <c r="J227" t="s">
        <v>18</v>
      </c>
      <c r="K227">
        <v>2.9</v>
      </c>
      <c r="L227">
        <v>11.8</v>
      </c>
      <c r="M227" t="s">
        <v>19</v>
      </c>
      <c r="N227">
        <v>45210</v>
      </c>
    </row>
    <row r="228" spans="1:14" x14ac:dyDescent="0.35">
      <c r="A228" t="s">
        <v>267</v>
      </c>
      <c r="B228" t="s">
        <v>21</v>
      </c>
      <c r="C228" t="s">
        <v>34</v>
      </c>
      <c r="D228" t="s">
        <v>17</v>
      </c>
      <c r="E228">
        <v>468937</v>
      </c>
      <c r="F228">
        <v>13.97</v>
      </c>
      <c r="G228">
        <v>120</v>
      </c>
      <c r="H228">
        <v>131780</v>
      </c>
      <c r="I228">
        <v>626</v>
      </c>
      <c r="J228" t="s">
        <v>26</v>
      </c>
      <c r="K228">
        <v>13.2</v>
      </c>
      <c r="L228">
        <v>38.299999999999997</v>
      </c>
      <c r="M228" t="s">
        <v>23</v>
      </c>
      <c r="N228">
        <v>44210</v>
      </c>
    </row>
    <row r="229" spans="1:14" x14ac:dyDescent="0.35">
      <c r="A229" t="s">
        <v>268</v>
      </c>
      <c r="B229" t="s">
        <v>15</v>
      </c>
      <c r="C229" t="s">
        <v>34</v>
      </c>
      <c r="D229" t="s">
        <v>52</v>
      </c>
      <c r="E229">
        <v>600600</v>
      </c>
      <c r="F229">
        <v>6.89</v>
      </c>
      <c r="G229">
        <v>300</v>
      </c>
      <c r="H229">
        <v>68696</v>
      </c>
      <c r="I229">
        <v>686</v>
      </c>
      <c r="J229" t="s">
        <v>18</v>
      </c>
      <c r="K229">
        <v>3.2</v>
      </c>
      <c r="L229">
        <v>32.200000000000003</v>
      </c>
      <c r="M229" t="s">
        <v>23</v>
      </c>
      <c r="N229">
        <v>44329</v>
      </c>
    </row>
    <row r="230" spans="1:14" x14ac:dyDescent="0.35">
      <c r="A230" t="s">
        <v>269</v>
      </c>
      <c r="B230" t="s">
        <v>83</v>
      </c>
      <c r="C230" t="s">
        <v>22</v>
      </c>
      <c r="D230" t="s">
        <v>38</v>
      </c>
      <c r="E230">
        <v>589054</v>
      </c>
      <c r="F230">
        <v>7.21</v>
      </c>
      <c r="G230">
        <v>300</v>
      </c>
      <c r="H230">
        <v>95616</v>
      </c>
      <c r="I230">
        <v>687</v>
      </c>
      <c r="J230" t="s">
        <v>18</v>
      </c>
      <c r="K230">
        <v>14.8</v>
      </c>
      <c r="L230">
        <v>30.8</v>
      </c>
      <c r="M230" t="s">
        <v>23</v>
      </c>
      <c r="N230">
        <v>45254</v>
      </c>
    </row>
    <row r="231" spans="1:14" x14ac:dyDescent="0.35">
      <c r="A231" t="s">
        <v>270</v>
      </c>
      <c r="B231" t="s">
        <v>28</v>
      </c>
      <c r="C231" t="s">
        <v>34</v>
      </c>
      <c r="D231" t="s">
        <v>17</v>
      </c>
      <c r="E231">
        <v>148521</v>
      </c>
      <c r="F231">
        <v>8.91</v>
      </c>
      <c r="G231">
        <v>240</v>
      </c>
      <c r="H231">
        <v>165161</v>
      </c>
      <c r="I231">
        <v>844</v>
      </c>
      <c r="J231" t="s">
        <v>18</v>
      </c>
      <c r="K231">
        <v>12.1</v>
      </c>
      <c r="L231">
        <v>10.1</v>
      </c>
      <c r="M231" t="s">
        <v>23</v>
      </c>
      <c r="N231">
        <v>45088</v>
      </c>
    </row>
    <row r="232" spans="1:14" x14ac:dyDescent="0.35">
      <c r="A232" t="s">
        <v>271</v>
      </c>
      <c r="B232" t="s">
        <v>25</v>
      </c>
      <c r="C232" t="s">
        <v>22</v>
      </c>
      <c r="D232" t="s">
        <v>52</v>
      </c>
      <c r="E232">
        <v>356977</v>
      </c>
      <c r="F232">
        <v>13.83</v>
      </c>
      <c r="G232">
        <v>36</v>
      </c>
      <c r="H232">
        <v>215620</v>
      </c>
      <c r="I232">
        <v>784</v>
      </c>
      <c r="J232" t="s">
        <v>39</v>
      </c>
      <c r="K232">
        <v>15.6</v>
      </c>
      <c r="L232">
        <v>13.6</v>
      </c>
      <c r="M232" t="s">
        <v>23</v>
      </c>
      <c r="N232">
        <v>45428</v>
      </c>
    </row>
    <row r="233" spans="1:14" x14ac:dyDescent="0.35">
      <c r="A233" t="s">
        <v>272</v>
      </c>
      <c r="B233" t="s">
        <v>15</v>
      </c>
      <c r="C233" t="s">
        <v>16</v>
      </c>
      <c r="D233" t="s">
        <v>45</v>
      </c>
      <c r="E233">
        <v>192771</v>
      </c>
      <c r="F233">
        <v>13.1</v>
      </c>
      <c r="G233">
        <v>240</v>
      </c>
      <c r="H233">
        <v>185195</v>
      </c>
      <c r="I233">
        <v>658</v>
      </c>
      <c r="J233" t="s">
        <v>18</v>
      </c>
      <c r="K233">
        <v>0.3</v>
      </c>
      <c r="L233">
        <v>32.9</v>
      </c>
      <c r="M233" t="s">
        <v>23</v>
      </c>
      <c r="N233">
        <v>45419</v>
      </c>
    </row>
    <row r="234" spans="1:14" x14ac:dyDescent="0.35">
      <c r="A234" t="s">
        <v>273</v>
      </c>
      <c r="B234" t="s">
        <v>15</v>
      </c>
      <c r="C234" t="s">
        <v>22</v>
      </c>
      <c r="D234" t="s">
        <v>45</v>
      </c>
      <c r="E234">
        <v>242199</v>
      </c>
      <c r="F234">
        <v>4.3600000000000003</v>
      </c>
      <c r="G234">
        <v>12</v>
      </c>
      <c r="H234">
        <v>166869</v>
      </c>
      <c r="I234">
        <v>734</v>
      </c>
      <c r="J234" t="s">
        <v>18</v>
      </c>
      <c r="K234">
        <v>4.9000000000000004</v>
      </c>
      <c r="L234">
        <v>16.3</v>
      </c>
      <c r="M234" t="s">
        <v>19</v>
      </c>
      <c r="N234">
        <v>44788</v>
      </c>
    </row>
    <row r="235" spans="1:14" x14ac:dyDescent="0.35">
      <c r="A235" t="s">
        <v>274</v>
      </c>
      <c r="B235" t="s">
        <v>15</v>
      </c>
      <c r="C235" t="s">
        <v>22</v>
      </c>
      <c r="D235" t="s">
        <v>38</v>
      </c>
      <c r="E235">
        <v>640329</v>
      </c>
      <c r="F235">
        <v>7.64</v>
      </c>
      <c r="G235">
        <v>240</v>
      </c>
      <c r="H235">
        <v>78013</v>
      </c>
      <c r="I235">
        <v>826</v>
      </c>
      <c r="J235" t="s">
        <v>26</v>
      </c>
      <c r="K235">
        <v>12.3</v>
      </c>
      <c r="L235">
        <v>28.2</v>
      </c>
      <c r="M235" t="s">
        <v>19</v>
      </c>
      <c r="N235">
        <v>44779</v>
      </c>
    </row>
    <row r="236" spans="1:14" x14ac:dyDescent="0.35">
      <c r="A236" t="s">
        <v>275</v>
      </c>
      <c r="B236" t="s">
        <v>30</v>
      </c>
      <c r="C236" t="s">
        <v>22</v>
      </c>
      <c r="D236" t="s">
        <v>38</v>
      </c>
      <c r="E236">
        <v>645473</v>
      </c>
      <c r="F236">
        <v>9.4499999999999993</v>
      </c>
      <c r="G236">
        <v>60</v>
      </c>
      <c r="H236">
        <v>167418</v>
      </c>
      <c r="I236">
        <v>598</v>
      </c>
      <c r="J236" t="s">
        <v>18</v>
      </c>
      <c r="K236">
        <v>23.8</v>
      </c>
      <c r="L236">
        <v>29.8</v>
      </c>
      <c r="M236" t="s">
        <v>48</v>
      </c>
      <c r="N236">
        <v>45375</v>
      </c>
    </row>
    <row r="237" spans="1:14" x14ac:dyDescent="0.35">
      <c r="A237" t="s">
        <v>276</v>
      </c>
      <c r="B237" t="s">
        <v>28</v>
      </c>
      <c r="C237" t="s">
        <v>16</v>
      </c>
      <c r="D237" t="s">
        <v>45</v>
      </c>
      <c r="E237">
        <v>182164</v>
      </c>
      <c r="F237">
        <v>8.89</v>
      </c>
      <c r="G237">
        <v>24</v>
      </c>
      <c r="H237">
        <v>192744</v>
      </c>
      <c r="I237">
        <v>605</v>
      </c>
      <c r="J237" t="s">
        <v>39</v>
      </c>
      <c r="K237">
        <v>9.6</v>
      </c>
      <c r="L237">
        <v>19.3</v>
      </c>
      <c r="M237" t="s">
        <v>19</v>
      </c>
      <c r="N237">
        <v>45298</v>
      </c>
    </row>
    <row r="238" spans="1:14" x14ac:dyDescent="0.35">
      <c r="A238" t="s">
        <v>277</v>
      </c>
      <c r="B238" t="s">
        <v>30</v>
      </c>
      <c r="C238" t="s">
        <v>22</v>
      </c>
      <c r="D238" t="s">
        <v>17</v>
      </c>
      <c r="E238">
        <v>461887</v>
      </c>
      <c r="F238">
        <v>5.39</v>
      </c>
      <c r="G238">
        <v>300</v>
      </c>
      <c r="H238">
        <v>176725</v>
      </c>
      <c r="I238">
        <v>796</v>
      </c>
      <c r="J238" t="s">
        <v>18</v>
      </c>
      <c r="K238">
        <v>10.6</v>
      </c>
      <c r="L238">
        <v>45.9</v>
      </c>
      <c r="M238" t="s">
        <v>23</v>
      </c>
      <c r="N238">
        <v>45392</v>
      </c>
    </row>
    <row r="239" spans="1:14" x14ac:dyDescent="0.35">
      <c r="A239" t="s">
        <v>278</v>
      </c>
      <c r="B239" t="s">
        <v>30</v>
      </c>
      <c r="C239" t="s">
        <v>16</v>
      </c>
      <c r="D239" t="s">
        <v>17</v>
      </c>
      <c r="E239">
        <v>539638</v>
      </c>
      <c r="F239">
        <v>12.9</v>
      </c>
      <c r="G239">
        <v>240</v>
      </c>
      <c r="H239">
        <v>77556</v>
      </c>
      <c r="I239">
        <v>733</v>
      </c>
      <c r="J239" t="s">
        <v>26</v>
      </c>
      <c r="K239">
        <v>17.899999999999999</v>
      </c>
      <c r="L239">
        <v>41.7</v>
      </c>
      <c r="M239" t="s">
        <v>55</v>
      </c>
      <c r="N239">
        <v>44485</v>
      </c>
    </row>
    <row r="240" spans="1:14" x14ac:dyDescent="0.35">
      <c r="A240" t="s">
        <v>279</v>
      </c>
      <c r="B240" t="s">
        <v>28</v>
      </c>
      <c r="C240" t="s">
        <v>22</v>
      </c>
      <c r="D240" t="s">
        <v>73</v>
      </c>
      <c r="E240">
        <v>518313</v>
      </c>
      <c r="F240">
        <v>10.85</v>
      </c>
      <c r="G240">
        <v>300</v>
      </c>
      <c r="H240">
        <v>151723</v>
      </c>
      <c r="I240">
        <v>733</v>
      </c>
      <c r="J240" t="s">
        <v>18</v>
      </c>
      <c r="K240">
        <v>15.1</v>
      </c>
      <c r="L240">
        <v>36.9</v>
      </c>
      <c r="M240" t="s">
        <v>55</v>
      </c>
      <c r="N240">
        <v>45209</v>
      </c>
    </row>
    <row r="241" spans="1:14" x14ac:dyDescent="0.35">
      <c r="A241" t="s">
        <v>280</v>
      </c>
      <c r="B241" t="s">
        <v>30</v>
      </c>
      <c r="C241" t="s">
        <v>22</v>
      </c>
      <c r="D241" t="s">
        <v>17</v>
      </c>
      <c r="E241">
        <v>73487</v>
      </c>
      <c r="F241">
        <v>12.67</v>
      </c>
      <c r="G241">
        <v>48</v>
      </c>
      <c r="H241">
        <v>54140</v>
      </c>
      <c r="I241">
        <v>753</v>
      </c>
      <c r="J241" t="s">
        <v>18</v>
      </c>
      <c r="K241">
        <v>7.5</v>
      </c>
      <c r="L241">
        <v>11.1</v>
      </c>
      <c r="M241" t="s">
        <v>23</v>
      </c>
      <c r="N241">
        <v>45075</v>
      </c>
    </row>
    <row r="242" spans="1:14" x14ac:dyDescent="0.35">
      <c r="A242" t="s">
        <v>281</v>
      </c>
      <c r="B242" t="s">
        <v>71</v>
      </c>
      <c r="C242" t="s">
        <v>16</v>
      </c>
      <c r="D242" t="s">
        <v>17</v>
      </c>
      <c r="E242">
        <v>153694</v>
      </c>
      <c r="F242">
        <v>12.9</v>
      </c>
      <c r="G242">
        <v>36</v>
      </c>
      <c r="H242">
        <v>29184</v>
      </c>
      <c r="I242">
        <v>671</v>
      </c>
      <c r="J242" t="s">
        <v>26</v>
      </c>
      <c r="K242">
        <v>10.3</v>
      </c>
      <c r="L242">
        <v>12.2</v>
      </c>
      <c r="M242" t="s">
        <v>19</v>
      </c>
      <c r="N242">
        <v>45640</v>
      </c>
    </row>
    <row r="243" spans="1:14" x14ac:dyDescent="0.35">
      <c r="A243" t="s">
        <v>282</v>
      </c>
      <c r="B243" t="s">
        <v>21</v>
      </c>
      <c r="C243" t="s">
        <v>16</v>
      </c>
      <c r="D243" t="s">
        <v>32</v>
      </c>
      <c r="E243">
        <v>128853</v>
      </c>
      <c r="F243">
        <v>11.66</v>
      </c>
      <c r="G243">
        <v>240</v>
      </c>
      <c r="H243">
        <v>193565</v>
      </c>
      <c r="I243">
        <v>760</v>
      </c>
      <c r="J243" t="s">
        <v>18</v>
      </c>
      <c r="K243">
        <v>5.4</v>
      </c>
      <c r="L243">
        <v>27.7</v>
      </c>
      <c r="M243" t="s">
        <v>48</v>
      </c>
      <c r="N243">
        <v>44203</v>
      </c>
    </row>
    <row r="244" spans="1:14" x14ac:dyDescent="0.35">
      <c r="A244" t="s">
        <v>283</v>
      </c>
      <c r="B244" t="s">
        <v>83</v>
      </c>
      <c r="C244" t="s">
        <v>22</v>
      </c>
      <c r="D244" t="s">
        <v>32</v>
      </c>
      <c r="E244">
        <v>320261</v>
      </c>
      <c r="F244">
        <v>8.16</v>
      </c>
      <c r="G244">
        <v>24</v>
      </c>
      <c r="H244">
        <v>203220</v>
      </c>
      <c r="I244">
        <v>710</v>
      </c>
      <c r="J244" t="s">
        <v>26</v>
      </c>
      <c r="K244">
        <v>24.2</v>
      </c>
      <c r="L244">
        <v>14.4</v>
      </c>
      <c r="M244" t="s">
        <v>19</v>
      </c>
      <c r="N244">
        <v>45380</v>
      </c>
    </row>
    <row r="245" spans="1:14" x14ac:dyDescent="0.35">
      <c r="A245" t="s">
        <v>284</v>
      </c>
      <c r="B245" t="s">
        <v>15</v>
      </c>
      <c r="C245" t="s">
        <v>16</v>
      </c>
      <c r="D245" t="s">
        <v>45</v>
      </c>
      <c r="E245">
        <v>240062</v>
      </c>
      <c r="F245">
        <v>10.1</v>
      </c>
      <c r="G245">
        <v>60</v>
      </c>
      <c r="H245">
        <v>183918</v>
      </c>
      <c r="I245">
        <v>655</v>
      </c>
      <c r="J245" t="s">
        <v>18</v>
      </c>
      <c r="K245">
        <v>3.3</v>
      </c>
      <c r="L245">
        <v>47.1</v>
      </c>
      <c r="M245" t="s">
        <v>55</v>
      </c>
      <c r="N245">
        <v>44436</v>
      </c>
    </row>
    <row r="246" spans="1:14" x14ac:dyDescent="0.35">
      <c r="A246" t="s">
        <v>285</v>
      </c>
      <c r="B246" t="s">
        <v>30</v>
      </c>
      <c r="C246" t="s">
        <v>34</v>
      </c>
      <c r="D246" t="s">
        <v>73</v>
      </c>
      <c r="E246">
        <v>456610</v>
      </c>
      <c r="F246">
        <v>5.01</v>
      </c>
      <c r="G246">
        <v>12</v>
      </c>
      <c r="H246">
        <v>139361</v>
      </c>
      <c r="I246">
        <v>756</v>
      </c>
      <c r="J246" t="s">
        <v>18</v>
      </c>
      <c r="K246">
        <v>9.3000000000000007</v>
      </c>
      <c r="L246">
        <v>14.3</v>
      </c>
      <c r="M246" t="s">
        <v>23</v>
      </c>
      <c r="N246">
        <v>45643</v>
      </c>
    </row>
    <row r="247" spans="1:14" x14ac:dyDescent="0.35">
      <c r="A247" t="s">
        <v>286</v>
      </c>
      <c r="B247" t="s">
        <v>71</v>
      </c>
      <c r="C247" t="s">
        <v>16</v>
      </c>
      <c r="D247" t="s">
        <v>17</v>
      </c>
      <c r="E247">
        <v>238077</v>
      </c>
      <c r="F247">
        <v>10.81</v>
      </c>
      <c r="G247">
        <v>300</v>
      </c>
      <c r="H247">
        <v>181267</v>
      </c>
      <c r="I247">
        <v>763</v>
      </c>
      <c r="J247" t="s">
        <v>18</v>
      </c>
      <c r="K247">
        <v>0.6</v>
      </c>
      <c r="L247">
        <v>27.5</v>
      </c>
      <c r="M247" t="s">
        <v>23</v>
      </c>
      <c r="N247">
        <v>44732</v>
      </c>
    </row>
    <row r="248" spans="1:14" x14ac:dyDescent="0.35">
      <c r="A248" t="s">
        <v>287</v>
      </c>
      <c r="B248" t="s">
        <v>15</v>
      </c>
      <c r="C248" t="s">
        <v>22</v>
      </c>
      <c r="D248" t="s">
        <v>17</v>
      </c>
      <c r="E248">
        <v>28782</v>
      </c>
      <c r="F248">
        <v>5.23</v>
      </c>
      <c r="G248">
        <v>36</v>
      </c>
      <c r="H248">
        <v>33606</v>
      </c>
      <c r="I248">
        <v>710</v>
      </c>
      <c r="J248" t="s">
        <v>35</v>
      </c>
      <c r="K248">
        <v>5.5</v>
      </c>
      <c r="L248">
        <v>22.6</v>
      </c>
      <c r="M248" t="s">
        <v>23</v>
      </c>
      <c r="N248">
        <v>44266</v>
      </c>
    </row>
    <row r="249" spans="1:14" x14ac:dyDescent="0.35">
      <c r="A249" t="s">
        <v>288</v>
      </c>
      <c r="B249" t="s">
        <v>21</v>
      </c>
      <c r="C249" t="s">
        <v>22</v>
      </c>
      <c r="D249" t="s">
        <v>17</v>
      </c>
      <c r="E249">
        <v>514492</v>
      </c>
      <c r="F249">
        <v>11.04</v>
      </c>
      <c r="G249">
        <v>120</v>
      </c>
      <c r="H249">
        <v>163028</v>
      </c>
      <c r="I249">
        <v>628</v>
      </c>
      <c r="J249" t="s">
        <v>18</v>
      </c>
      <c r="K249">
        <v>19.5</v>
      </c>
      <c r="L249">
        <v>33.6</v>
      </c>
      <c r="M249" t="s">
        <v>19</v>
      </c>
      <c r="N249">
        <v>44412</v>
      </c>
    </row>
    <row r="250" spans="1:14" x14ac:dyDescent="0.35">
      <c r="A250" t="s">
        <v>289</v>
      </c>
      <c r="B250" t="s">
        <v>21</v>
      </c>
      <c r="C250" t="s">
        <v>34</v>
      </c>
      <c r="D250" t="s">
        <v>43</v>
      </c>
      <c r="E250">
        <v>659224</v>
      </c>
      <c r="F250">
        <v>5.79</v>
      </c>
      <c r="G250">
        <v>24</v>
      </c>
      <c r="H250">
        <v>44555</v>
      </c>
      <c r="I250">
        <v>634</v>
      </c>
      <c r="J250" t="s">
        <v>18</v>
      </c>
      <c r="K250">
        <v>5</v>
      </c>
      <c r="L250">
        <v>13.2</v>
      </c>
      <c r="M250" t="s">
        <v>55</v>
      </c>
      <c r="N250">
        <v>45324</v>
      </c>
    </row>
    <row r="251" spans="1:14" x14ac:dyDescent="0.35">
      <c r="A251" t="s">
        <v>290</v>
      </c>
      <c r="B251" t="s">
        <v>37</v>
      </c>
      <c r="C251" t="s">
        <v>22</v>
      </c>
      <c r="D251" t="s">
        <v>45</v>
      </c>
      <c r="E251">
        <v>413808</v>
      </c>
      <c r="F251">
        <v>4.53</v>
      </c>
      <c r="G251">
        <v>120</v>
      </c>
      <c r="H251">
        <v>118385</v>
      </c>
      <c r="I251">
        <v>733</v>
      </c>
      <c r="J251" t="s">
        <v>18</v>
      </c>
      <c r="K251">
        <v>2</v>
      </c>
      <c r="L251">
        <v>25.2</v>
      </c>
      <c r="M251" t="s">
        <v>48</v>
      </c>
      <c r="N251">
        <v>45274</v>
      </c>
    </row>
    <row r="252" spans="1:14" x14ac:dyDescent="0.35">
      <c r="A252" t="s">
        <v>291</v>
      </c>
      <c r="B252" t="s">
        <v>30</v>
      </c>
      <c r="C252" t="s">
        <v>34</v>
      </c>
      <c r="D252" t="s">
        <v>17</v>
      </c>
      <c r="E252">
        <v>158245</v>
      </c>
      <c r="F252">
        <v>5.07</v>
      </c>
      <c r="G252">
        <v>24</v>
      </c>
      <c r="H252">
        <v>177762</v>
      </c>
      <c r="I252">
        <v>779</v>
      </c>
      <c r="J252" t="s">
        <v>18</v>
      </c>
      <c r="K252">
        <v>11.9</v>
      </c>
      <c r="L252">
        <v>19</v>
      </c>
      <c r="M252" t="s">
        <v>23</v>
      </c>
      <c r="N252">
        <v>45002</v>
      </c>
    </row>
    <row r="253" spans="1:14" x14ac:dyDescent="0.35">
      <c r="A253" t="s">
        <v>292</v>
      </c>
      <c r="B253" t="s">
        <v>15</v>
      </c>
      <c r="C253" t="s">
        <v>16</v>
      </c>
      <c r="D253" t="s">
        <v>38</v>
      </c>
      <c r="E253">
        <v>127258</v>
      </c>
      <c r="F253">
        <v>3.22</v>
      </c>
      <c r="G253">
        <v>24</v>
      </c>
      <c r="H253">
        <v>86502</v>
      </c>
      <c r="I253">
        <v>697</v>
      </c>
      <c r="J253" t="s">
        <v>18</v>
      </c>
      <c r="K253">
        <v>0.2</v>
      </c>
      <c r="L253">
        <v>43.5</v>
      </c>
      <c r="M253" t="s">
        <v>23</v>
      </c>
      <c r="N253">
        <v>44526</v>
      </c>
    </row>
    <row r="254" spans="1:14" x14ac:dyDescent="0.35">
      <c r="A254" t="s">
        <v>293</v>
      </c>
      <c r="B254" t="s">
        <v>37</v>
      </c>
      <c r="C254" t="s">
        <v>34</v>
      </c>
      <c r="D254" t="s">
        <v>43</v>
      </c>
      <c r="E254">
        <v>640956</v>
      </c>
      <c r="F254">
        <v>11.32</v>
      </c>
      <c r="G254">
        <v>60</v>
      </c>
      <c r="H254">
        <v>207921</v>
      </c>
      <c r="I254">
        <v>842</v>
      </c>
      <c r="J254" t="s">
        <v>39</v>
      </c>
      <c r="K254">
        <v>2.1</v>
      </c>
      <c r="L254">
        <v>9.6</v>
      </c>
      <c r="M254" t="s">
        <v>55</v>
      </c>
      <c r="N254">
        <v>45044</v>
      </c>
    </row>
    <row r="255" spans="1:14" x14ac:dyDescent="0.35">
      <c r="A255" t="s">
        <v>294</v>
      </c>
      <c r="B255" t="s">
        <v>30</v>
      </c>
      <c r="C255" t="s">
        <v>16</v>
      </c>
      <c r="D255" t="s">
        <v>43</v>
      </c>
      <c r="E255">
        <v>459418</v>
      </c>
      <c r="F255">
        <v>11.48</v>
      </c>
      <c r="G255">
        <v>60</v>
      </c>
      <c r="H255">
        <v>185419</v>
      </c>
      <c r="I255">
        <v>625</v>
      </c>
      <c r="J255" t="s">
        <v>18</v>
      </c>
      <c r="K255">
        <v>20.2</v>
      </c>
      <c r="L255">
        <v>44.5</v>
      </c>
      <c r="M255" t="s">
        <v>19</v>
      </c>
      <c r="N255">
        <v>45423</v>
      </c>
    </row>
    <row r="256" spans="1:14" x14ac:dyDescent="0.35">
      <c r="A256" t="s">
        <v>295</v>
      </c>
      <c r="B256" t="s">
        <v>30</v>
      </c>
      <c r="C256" t="s">
        <v>34</v>
      </c>
      <c r="D256" t="s">
        <v>73</v>
      </c>
      <c r="E256">
        <v>487616</v>
      </c>
      <c r="F256">
        <v>9.02</v>
      </c>
      <c r="G256">
        <v>60</v>
      </c>
      <c r="H256">
        <v>131844</v>
      </c>
      <c r="I256">
        <v>768</v>
      </c>
      <c r="J256" t="s">
        <v>39</v>
      </c>
      <c r="K256">
        <v>19.3</v>
      </c>
      <c r="L256">
        <v>41.3</v>
      </c>
      <c r="M256" t="s">
        <v>23</v>
      </c>
      <c r="N256">
        <v>45508</v>
      </c>
    </row>
    <row r="257" spans="1:14" x14ac:dyDescent="0.35">
      <c r="A257" t="s">
        <v>296</v>
      </c>
      <c r="B257" t="s">
        <v>15</v>
      </c>
      <c r="C257" t="s">
        <v>22</v>
      </c>
      <c r="D257" t="s">
        <v>17</v>
      </c>
      <c r="E257">
        <v>391328</v>
      </c>
      <c r="F257">
        <v>5.0199999999999996</v>
      </c>
      <c r="G257">
        <v>240</v>
      </c>
      <c r="H257">
        <v>119321</v>
      </c>
      <c r="I257">
        <v>708</v>
      </c>
      <c r="J257" t="s">
        <v>18</v>
      </c>
      <c r="K257">
        <v>22.9</v>
      </c>
      <c r="L257">
        <v>19.899999999999999</v>
      </c>
      <c r="M257" t="s">
        <v>23</v>
      </c>
      <c r="N257">
        <v>44241</v>
      </c>
    </row>
    <row r="258" spans="1:14" x14ac:dyDescent="0.35">
      <c r="A258" t="s">
        <v>297</v>
      </c>
      <c r="B258" t="s">
        <v>71</v>
      </c>
      <c r="C258" t="s">
        <v>16</v>
      </c>
      <c r="D258" t="s">
        <v>38</v>
      </c>
      <c r="E258">
        <v>511581</v>
      </c>
      <c r="F258">
        <v>4.1399999999999997</v>
      </c>
      <c r="G258">
        <v>48</v>
      </c>
      <c r="H258">
        <v>77056</v>
      </c>
      <c r="I258">
        <v>628</v>
      </c>
      <c r="J258" t="s">
        <v>26</v>
      </c>
      <c r="K258">
        <v>21.4</v>
      </c>
      <c r="L258">
        <v>39.6</v>
      </c>
      <c r="M258" t="s">
        <v>19</v>
      </c>
      <c r="N258">
        <v>45025</v>
      </c>
    </row>
    <row r="259" spans="1:14" x14ac:dyDescent="0.35">
      <c r="A259" t="s">
        <v>298</v>
      </c>
      <c r="B259" t="s">
        <v>28</v>
      </c>
      <c r="C259" t="s">
        <v>22</v>
      </c>
      <c r="D259" t="s">
        <v>32</v>
      </c>
      <c r="E259">
        <v>428966</v>
      </c>
      <c r="F259">
        <v>3.42</v>
      </c>
      <c r="G259">
        <v>24</v>
      </c>
      <c r="H259">
        <v>126234</v>
      </c>
      <c r="I259">
        <v>604</v>
      </c>
      <c r="J259" t="s">
        <v>39</v>
      </c>
      <c r="K259">
        <v>17.100000000000001</v>
      </c>
      <c r="L259">
        <v>9.1999999999999993</v>
      </c>
      <c r="M259" t="s">
        <v>19</v>
      </c>
      <c r="N259">
        <v>44394</v>
      </c>
    </row>
    <row r="260" spans="1:14" x14ac:dyDescent="0.35">
      <c r="A260" t="s">
        <v>299</v>
      </c>
      <c r="B260" t="s">
        <v>15</v>
      </c>
      <c r="C260" t="s">
        <v>22</v>
      </c>
      <c r="D260" t="s">
        <v>43</v>
      </c>
      <c r="E260">
        <v>283710</v>
      </c>
      <c r="F260">
        <v>5.07</v>
      </c>
      <c r="G260">
        <v>36</v>
      </c>
      <c r="H260">
        <v>69850</v>
      </c>
      <c r="I260">
        <v>845</v>
      </c>
      <c r="J260" t="s">
        <v>18</v>
      </c>
      <c r="K260">
        <v>1.3</v>
      </c>
      <c r="L260">
        <v>46.7</v>
      </c>
      <c r="M260" t="s">
        <v>23</v>
      </c>
      <c r="N260">
        <v>45436</v>
      </c>
    </row>
    <row r="261" spans="1:14" x14ac:dyDescent="0.35">
      <c r="A261" t="s">
        <v>300</v>
      </c>
      <c r="B261" t="s">
        <v>30</v>
      </c>
      <c r="C261" t="s">
        <v>16</v>
      </c>
      <c r="D261" t="s">
        <v>38</v>
      </c>
      <c r="E261">
        <v>667550</v>
      </c>
      <c r="F261">
        <v>13.27</v>
      </c>
      <c r="G261">
        <v>120</v>
      </c>
      <c r="H261">
        <v>55843</v>
      </c>
      <c r="I261">
        <v>697</v>
      </c>
      <c r="J261" t="s">
        <v>35</v>
      </c>
      <c r="K261">
        <v>19.600000000000001</v>
      </c>
      <c r="L261">
        <v>29.1</v>
      </c>
      <c r="M261" t="s">
        <v>23</v>
      </c>
      <c r="N261">
        <v>45529</v>
      </c>
    </row>
    <row r="262" spans="1:14" x14ac:dyDescent="0.35">
      <c r="A262" t="s">
        <v>301</v>
      </c>
      <c r="B262" t="s">
        <v>28</v>
      </c>
      <c r="C262" t="s">
        <v>34</v>
      </c>
      <c r="D262" t="s">
        <v>38</v>
      </c>
      <c r="E262">
        <v>567621</v>
      </c>
      <c r="F262">
        <v>5.93</v>
      </c>
      <c r="G262">
        <v>60</v>
      </c>
      <c r="H262">
        <v>90320</v>
      </c>
      <c r="I262">
        <v>723</v>
      </c>
      <c r="J262" t="s">
        <v>18</v>
      </c>
      <c r="K262">
        <v>21.1</v>
      </c>
      <c r="L262">
        <v>20.100000000000001</v>
      </c>
      <c r="M262" t="s">
        <v>48</v>
      </c>
      <c r="N262">
        <v>45092</v>
      </c>
    </row>
    <row r="263" spans="1:14" x14ac:dyDescent="0.35">
      <c r="A263" t="s">
        <v>302</v>
      </c>
      <c r="B263" t="s">
        <v>303</v>
      </c>
      <c r="C263" t="s">
        <v>34</v>
      </c>
      <c r="D263" t="s">
        <v>45</v>
      </c>
      <c r="E263">
        <v>389073</v>
      </c>
      <c r="F263">
        <v>7.2</v>
      </c>
      <c r="G263">
        <v>240</v>
      </c>
      <c r="H263">
        <v>57793</v>
      </c>
      <c r="I263">
        <v>779</v>
      </c>
      <c r="J263" t="s">
        <v>39</v>
      </c>
      <c r="K263">
        <v>20</v>
      </c>
      <c r="L263">
        <v>22.5</v>
      </c>
      <c r="M263" t="s">
        <v>19</v>
      </c>
      <c r="N263">
        <v>45655</v>
      </c>
    </row>
    <row r="264" spans="1:14" x14ac:dyDescent="0.35">
      <c r="A264" t="s">
        <v>304</v>
      </c>
      <c r="B264" t="s">
        <v>30</v>
      </c>
      <c r="C264" t="s">
        <v>16</v>
      </c>
      <c r="D264" t="s">
        <v>17</v>
      </c>
      <c r="E264">
        <v>741265</v>
      </c>
      <c r="F264">
        <v>4.3899999999999997</v>
      </c>
      <c r="G264">
        <v>60</v>
      </c>
      <c r="H264">
        <v>198588</v>
      </c>
      <c r="I264">
        <v>736</v>
      </c>
      <c r="J264" t="s">
        <v>26</v>
      </c>
      <c r="K264">
        <v>12.7</v>
      </c>
      <c r="L264">
        <v>10.7</v>
      </c>
      <c r="M264" t="s">
        <v>23</v>
      </c>
      <c r="N264">
        <v>44528</v>
      </c>
    </row>
    <row r="265" spans="1:14" x14ac:dyDescent="0.35">
      <c r="A265" t="s">
        <v>305</v>
      </c>
      <c r="B265" t="s">
        <v>15</v>
      </c>
      <c r="C265" t="s">
        <v>22</v>
      </c>
      <c r="D265" t="s">
        <v>32</v>
      </c>
      <c r="E265">
        <v>618859</v>
      </c>
      <c r="F265">
        <v>5.71</v>
      </c>
      <c r="G265">
        <v>120</v>
      </c>
      <c r="H265">
        <v>176929</v>
      </c>
      <c r="I265">
        <v>713</v>
      </c>
      <c r="J265" t="s">
        <v>18</v>
      </c>
      <c r="K265">
        <v>5.8</v>
      </c>
      <c r="L265">
        <v>47.6</v>
      </c>
      <c r="M265" t="s">
        <v>23</v>
      </c>
      <c r="N265">
        <v>44892</v>
      </c>
    </row>
    <row r="266" spans="1:14" x14ac:dyDescent="0.35">
      <c r="A266" t="s">
        <v>306</v>
      </c>
      <c r="B266" t="s">
        <v>37</v>
      </c>
      <c r="C266" t="s">
        <v>22</v>
      </c>
      <c r="D266" t="s">
        <v>52</v>
      </c>
      <c r="E266">
        <v>125263</v>
      </c>
      <c r="F266">
        <v>9.07</v>
      </c>
      <c r="G266">
        <v>120</v>
      </c>
      <c r="H266">
        <v>47627</v>
      </c>
      <c r="I266">
        <v>727</v>
      </c>
      <c r="J266" t="s">
        <v>18</v>
      </c>
      <c r="K266">
        <v>21.1</v>
      </c>
      <c r="L266">
        <v>9.6</v>
      </c>
      <c r="M266" t="s">
        <v>19</v>
      </c>
      <c r="N266">
        <v>44223</v>
      </c>
    </row>
    <row r="267" spans="1:14" x14ac:dyDescent="0.35">
      <c r="A267" t="s">
        <v>307</v>
      </c>
      <c r="B267" t="s">
        <v>25</v>
      </c>
      <c r="C267" t="s">
        <v>16</v>
      </c>
      <c r="D267" t="s">
        <v>73</v>
      </c>
      <c r="E267">
        <v>554523</v>
      </c>
      <c r="F267">
        <v>10.07</v>
      </c>
      <c r="G267">
        <v>300</v>
      </c>
      <c r="H267">
        <v>89822</v>
      </c>
      <c r="I267">
        <v>650</v>
      </c>
      <c r="J267" t="s">
        <v>18</v>
      </c>
      <c r="K267">
        <v>18.2</v>
      </c>
      <c r="L267">
        <v>34.200000000000003</v>
      </c>
      <c r="M267" t="s">
        <v>23</v>
      </c>
      <c r="N267">
        <v>45386</v>
      </c>
    </row>
    <row r="268" spans="1:14" x14ac:dyDescent="0.35">
      <c r="A268" t="s">
        <v>308</v>
      </c>
      <c r="B268" t="s">
        <v>28</v>
      </c>
      <c r="C268" t="s">
        <v>22</v>
      </c>
      <c r="D268" t="s">
        <v>17</v>
      </c>
      <c r="E268">
        <v>5159</v>
      </c>
      <c r="F268">
        <v>5.97</v>
      </c>
      <c r="G268">
        <v>24</v>
      </c>
      <c r="H268">
        <v>211320</v>
      </c>
      <c r="I268">
        <v>812</v>
      </c>
      <c r="J268" t="s">
        <v>18</v>
      </c>
      <c r="K268">
        <v>24.5</v>
      </c>
      <c r="L268">
        <v>25.7</v>
      </c>
      <c r="M268" t="s">
        <v>23</v>
      </c>
      <c r="N268">
        <v>44514</v>
      </c>
    </row>
    <row r="269" spans="1:14" x14ac:dyDescent="0.35">
      <c r="A269" t="s">
        <v>309</v>
      </c>
      <c r="B269" t="s">
        <v>28</v>
      </c>
      <c r="C269" t="s">
        <v>22</v>
      </c>
      <c r="D269" t="s">
        <v>17</v>
      </c>
      <c r="E269">
        <v>672505</v>
      </c>
      <c r="F269">
        <v>3.85</v>
      </c>
      <c r="G269">
        <v>60</v>
      </c>
      <c r="H269">
        <v>83798</v>
      </c>
      <c r="I269">
        <v>733</v>
      </c>
      <c r="J269" t="s">
        <v>18</v>
      </c>
      <c r="K269">
        <v>3.9</v>
      </c>
      <c r="L269">
        <v>46</v>
      </c>
      <c r="M269" t="s">
        <v>19</v>
      </c>
      <c r="N269">
        <v>45494</v>
      </c>
    </row>
    <row r="270" spans="1:14" x14ac:dyDescent="0.35">
      <c r="A270" t="s">
        <v>310</v>
      </c>
      <c r="B270" t="s">
        <v>30</v>
      </c>
      <c r="C270" t="s">
        <v>22</v>
      </c>
      <c r="D270" t="s">
        <v>17</v>
      </c>
      <c r="E270">
        <v>167993</v>
      </c>
      <c r="F270">
        <v>7.62</v>
      </c>
      <c r="G270">
        <v>120</v>
      </c>
      <c r="H270">
        <v>203188</v>
      </c>
      <c r="I270">
        <v>669</v>
      </c>
      <c r="J270" t="s">
        <v>18</v>
      </c>
      <c r="K270">
        <v>5.6</v>
      </c>
      <c r="L270">
        <v>17.8</v>
      </c>
      <c r="M270" t="s">
        <v>23</v>
      </c>
      <c r="N270">
        <v>45603</v>
      </c>
    </row>
    <row r="271" spans="1:14" x14ac:dyDescent="0.35">
      <c r="A271" t="s">
        <v>311</v>
      </c>
      <c r="B271" t="s">
        <v>30</v>
      </c>
      <c r="C271" t="s">
        <v>22</v>
      </c>
      <c r="D271" t="s">
        <v>38</v>
      </c>
      <c r="E271">
        <v>372003</v>
      </c>
      <c r="F271">
        <v>5.85</v>
      </c>
      <c r="G271">
        <v>48</v>
      </c>
      <c r="H271">
        <v>103318</v>
      </c>
      <c r="I271">
        <v>778</v>
      </c>
      <c r="J271" t="s">
        <v>18</v>
      </c>
      <c r="K271">
        <v>5.3</v>
      </c>
      <c r="L271">
        <v>29.3</v>
      </c>
      <c r="M271" t="s">
        <v>19</v>
      </c>
      <c r="N271">
        <v>44561</v>
      </c>
    </row>
    <row r="272" spans="1:14" x14ac:dyDescent="0.35">
      <c r="A272" t="s">
        <v>312</v>
      </c>
      <c r="B272" t="s">
        <v>25</v>
      </c>
      <c r="C272" t="s">
        <v>22</v>
      </c>
      <c r="D272" t="s">
        <v>38</v>
      </c>
      <c r="E272">
        <v>152309</v>
      </c>
      <c r="F272">
        <v>5.68</v>
      </c>
      <c r="G272">
        <v>48</v>
      </c>
      <c r="H272">
        <v>132186</v>
      </c>
      <c r="I272">
        <v>740</v>
      </c>
      <c r="J272" t="s">
        <v>26</v>
      </c>
      <c r="K272">
        <v>19.8</v>
      </c>
      <c r="L272">
        <v>27.3</v>
      </c>
      <c r="M272" t="s">
        <v>23</v>
      </c>
      <c r="N272">
        <v>45323</v>
      </c>
    </row>
    <row r="273" spans="1:14" x14ac:dyDescent="0.35">
      <c r="A273" t="s">
        <v>313</v>
      </c>
      <c r="B273" t="s">
        <v>25</v>
      </c>
      <c r="C273" t="s">
        <v>22</v>
      </c>
      <c r="D273" t="s">
        <v>17</v>
      </c>
      <c r="E273">
        <v>112507</v>
      </c>
      <c r="F273">
        <v>14.05</v>
      </c>
      <c r="G273">
        <v>60</v>
      </c>
      <c r="H273">
        <v>115902</v>
      </c>
      <c r="I273">
        <v>605</v>
      </c>
      <c r="J273" t="s">
        <v>18</v>
      </c>
      <c r="K273">
        <v>4.7</v>
      </c>
      <c r="L273">
        <v>36.1</v>
      </c>
      <c r="M273" t="s">
        <v>19</v>
      </c>
      <c r="N273">
        <v>45156</v>
      </c>
    </row>
    <row r="274" spans="1:14" x14ac:dyDescent="0.35">
      <c r="A274" t="s">
        <v>314</v>
      </c>
      <c r="B274" t="s">
        <v>37</v>
      </c>
      <c r="C274" t="s">
        <v>22</v>
      </c>
      <c r="D274" t="s">
        <v>32</v>
      </c>
      <c r="E274">
        <v>19743</v>
      </c>
      <c r="F274">
        <v>10.16</v>
      </c>
      <c r="G274">
        <v>240</v>
      </c>
      <c r="H274">
        <v>187629</v>
      </c>
      <c r="I274">
        <v>700</v>
      </c>
      <c r="J274" t="s">
        <v>18</v>
      </c>
      <c r="K274">
        <v>1.7</v>
      </c>
      <c r="L274">
        <v>10.7</v>
      </c>
      <c r="M274" t="s">
        <v>23</v>
      </c>
      <c r="N274">
        <v>44569</v>
      </c>
    </row>
    <row r="275" spans="1:14" x14ac:dyDescent="0.35">
      <c r="A275" t="s">
        <v>315</v>
      </c>
      <c r="B275" t="s">
        <v>83</v>
      </c>
      <c r="C275" t="s">
        <v>22</v>
      </c>
      <c r="D275" t="s">
        <v>43</v>
      </c>
      <c r="E275">
        <v>51101</v>
      </c>
      <c r="F275">
        <v>9.49</v>
      </c>
      <c r="G275">
        <v>120</v>
      </c>
      <c r="H275">
        <v>99334</v>
      </c>
      <c r="I275">
        <v>791</v>
      </c>
      <c r="J275" t="s">
        <v>26</v>
      </c>
      <c r="K275">
        <v>25</v>
      </c>
      <c r="L275">
        <v>15.8</v>
      </c>
      <c r="M275" t="s">
        <v>23</v>
      </c>
      <c r="N275">
        <v>44441</v>
      </c>
    </row>
    <row r="276" spans="1:14" x14ac:dyDescent="0.35">
      <c r="A276" t="s">
        <v>316</v>
      </c>
      <c r="B276" t="s">
        <v>15</v>
      </c>
      <c r="C276" t="s">
        <v>34</v>
      </c>
      <c r="D276" t="s">
        <v>38</v>
      </c>
      <c r="E276">
        <v>247717</v>
      </c>
      <c r="F276">
        <v>7.9</v>
      </c>
      <c r="G276">
        <v>300</v>
      </c>
      <c r="H276">
        <v>134719</v>
      </c>
      <c r="I276">
        <v>642</v>
      </c>
      <c r="J276" t="s">
        <v>18</v>
      </c>
      <c r="K276">
        <v>0.6</v>
      </c>
      <c r="L276">
        <v>16.600000000000001</v>
      </c>
      <c r="M276" t="s">
        <v>23</v>
      </c>
      <c r="N276">
        <v>45389</v>
      </c>
    </row>
    <row r="277" spans="1:14" x14ac:dyDescent="0.35">
      <c r="A277" t="s">
        <v>317</v>
      </c>
      <c r="B277" t="s">
        <v>15</v>
      </c>
      <c r="C277" t="s">
        <v>22</v>
      </c>
      <c r="D277" t="s">
        <v>32</v>
      </c>
      <c r="E277">
        <v>650822</v>
      </c>
      <c r="F277">
        <v>8.0500000000000007</v>
      </c>
      <c r="G277">
        <v>24</v>
      </c>
      <c r="H277">
        <v>151099</v>
      </c>
      <c r="I277">
        <v>647</v>
      </c>
      <c r="J277" t="s">
        <v>18</v>
      </c>
      <c r="K277">
        <v>20.9</v>
      </c>
      <c r="L277">
        <v>37.5</v>
      </c>
      <c r="M277" t="s">
        <v>48</v>
      </c>
      <c r="N277">
        <v>45638</v>
      </c>
    </row>
    <row r="278" spans="1:14" x14ac:dyDescent="0.35">
      <c r="A278" t="s">
        <v>318</v>
      </c>
      <c r="B278" t="s">
        <v>25</v>
      </c>
      <c r="C278" t="s">
        <v>22</v>
      </c>
      <c r="D278" t="s">
        <v>45</v>
      </c>
      <c r="E278">
        <v>351371</v>
      </c>
      <c r="F278">
        <v>9.31</v>
      </c>
      <c r="G278">
        <v>24</v>
      </c>
      <c r="H278">
        <v>201686</v>
      </c>
      <c r="I278">
        <v>832</v>
      </c>
      <c r="J278" t="s">
        <v>18</v>
      </c>
      <c r="K278">
        <v>9.1</v>
      </c>
      <c r="L278">
        <v>15.6</v>
      </c>
      <c r="M278" t="s">
        <v>55</v>
      </c>
      <c r="N278">
        <v>45576</v>
      </c>
    </row>
    <row r="279" spans="1:14" x14ac:dyDescent="0.35">
      <c r="A279" t="s">
        <v>319</v>
      </c>
      <c r="B279" t="s">
        <v>28</v>
      </c>
      <c r="C279" t="s">
        <v>16</v>
      </c>
      <c r="D279" t="s">
        <v>32</v>
      </c>
      <c r="E279">
        <v>235604</v>
      </c>
      <c r="F279">
        <v>11.07</v>
      </c>
      <c r="G279">
        <v>240</v>
      </c>
      <c r="H279">
        <v>40720</v>
      </c>
      <c r="I279">
        <v>581</v>
      </c>
      <c r="J279" t="s">
        <v>39</v>
      </c>
      <c r="K279">
        <v>21</v>
      </c>
      <c r="L279">
        <v>30.9</v>
      </c>
      <c r="M279" t="s">
        <v>23</v>
      </c>
      <c r="N279">
        <v>44674</v>
      </c>
    </row>
    <row r="280" spans="1:14" x14ac:dyDescent="0.35">
      <c r="A280" t="s">
        <v>320</v>
      </c>
      <c r="B280" t="s">
        <v>28</v>
      </c>
      <c r="C280" t="s">
        <v>22</v>
      </c>
      <c r="D280" t="s">
        <v>17</v>
      </c>
      <c r="E280">
        <v>192450</v>
      </c>
      <c r="F280">
        <v>11.13</v>
      </c>
      <c r="G280">
        <v>300</v>
      </c>
      <c r="H280">
        <v>85608</v>
      </c>
      <c r="I280">
        <v>687</v>
      </c>
      <c r="J280" t="s">
        <v>26</v>
      </c>
      <c r="K280">
        <v>13.9</v>
      </c>
      <c r="L280">
        <v>16.600000000000001</v>
      </c>
      <c r="M280" t="s">
        <v>19</v>
      </c>
      <c r="N280">
        <v>44321</v>
      </c>
    </row>
    <row r="281" spans="1:14" x14ac:dyDescent="0.35">
      <c r="A281" t="s">
        <v>321</v>
      </c>
      <c r="B281" t="s">
        <v>25</v>
      </c>
      <c r="C281" t="s">
        <v>34</v>
      </c>
      <c r="D281" t="s">
        <v>45</v>
      </c>
      <c r="E281">
        <v>731481</v>
      </c>
      <c r="F281">
        <v>5.14</v>
      </c>
      <c r="G281">
        <v>24</v>
      </c>
      <c r="H281">
        <v>135449</v>
      </c>
      <c r="I281">
        <v>628</v>
      </c>
      <c r="J281" t="s">
        <v>18</v>
      </c>
      <c r="K281">
        <v>22.5</v>
      </c>
      <c r="L281">
        <v>42.5</v>
      </c>
      <c r="M281" t="s">
        <v>19</v>
      </c>
      <c r="N281">
        <v>44733</v>
      </c>
    </row>
    <row r="282" spans="1:14" x14ac:dyDescent="0.35">
      <c r="A282" t="s">
        <v>322</v>
      </c>
      <c r="B282" t="s">
        <v>83</v>
      </c>
      <c r="C282" t="s">
        <v>16</v>
      </c>
      <c r="D282" t="s">
        <v>45</v>
      </c>
      <c r="E282">
        <v>341907</v>
      </c>
      <c r="F282">
        <v>8.85</v>
      </c>
      <c r="G282">
        <v>300</v>
      </c>
      <c r="H282">
        <v>130828</v>
      </c>
      <c r="I282">
        <v>719</v>
      </c>
      <c r="J282" t="s">
        <v>26</v>
      </c>
      <c r="K282">
        <v>23.2</v>
      </c>
      <c r="L282">
        <v>45.7</v>
      </c>
      <c r="M282" t="s">
        <v>48</v>
      </c>
      <c r="N282">
        <v>44902</v>
      </c>
    </row>
    <row r="283" spans="1:14" x14ac:dyDescent="0.35">
      <c r="A283" t="s">
        <v>323</v>
      </c>
      <c r="B283" t="s">
        <v>30</v>
      </c>
      <c r="C283" t="s">
        <v>22</v>
      </c>
      <c r="D283" t="s">
        <v>43</v>
      </c>
      <c r="E283">
        <v>492030</v>
      </c>
      <c r="F283">
        <v>7.86</v>
      </c>
      <c r="G283">
        <v>12</v>
      </c>
      <c r="H283">
        <v>154613</v>
      </c>
      <c r="I283">
        <v>797</v>
      </c>
      <c r="J283" t="s">
        <v>18</v>
      </c>
      <c r="K283">
        <v>0.2</v>
      </c>
      <c r="L283">
        <v>28.7</v>
      </c>
      <c r="M283" t="s">
        <v>23</v>
      </c>
      <c r="N283">
        <v>45622</v>
      </c>
    </row>
    <row r="284" spans="1:14" x14ac:dyDescent="0.35">
      <c r="A284" t="s">
        <v>324</v>
      </c>
      <c r="B284" t="s">
        <v>15</v>
      </c>
      <c r="C284" t="s">
        <v>22</v>
      </c>
      <c r="D284" t="s">
        <v>45</v>
      </c>
      <c r="E284">
        <v>410453</v>
      </c>
      <c r="F284">
        <v>13.04</v>
      </c>
      <c r="G284">
        <v>60</v>
      </c>
      <c r="H284">
        <v>100095</v>
      </c>
      <c r="I284">
        <v>623</v>
      </c>
      <c r="J284" t="s">
        <v>26</v>
      </c>
      <c r="K284">
        <v>1.9</v>
      </c>
      <c r="L284">
        <v>22.1</v>
      </c>
      <c r="M284" t="s">
        <v>19</v>
      </c>
      <c r="N284">
        <v>44727</v>
      </c>
    </row>
    <row r="285" spans="1:14" x14ac:dyDescent="0.35">
      <c r="A285" t="s">
        <v>325</v>
      </c>
      <c r="B285" t="s">
        <v>30</v>
      </c>
      <c r="C285" t="s">
        <v>34</v>
      </c>
      <c r="D285" t="s">
        <v>38</v>
      </c>
      <c r="E285">
        <v>676009</v>
      </c>
      <c r="F285">
        <v>10.34</v>
      </c>
      <c r="G285">
        <v>24</v>
      </c>
      <c r="H285">
        <v>133924</v>
      </c>
      <c r="I285">
        <v>848</v>
      </c>
      <c r="J285" t="s">
        <v>26</v>
      </c>
      <c r="K285">
        <v>6.3</v>
      </c>
      <c r="L285">
        <v>17.399999999999999</v>
      </c>
      <c r="M285" t="s">
        <v>23</v>
      </c>
      <c r="N285">
        <v>44982</v>
      </c>
    </row>
    <row r="286" spans="1:14" x14ac:dyDescent="0.35">
      <c r="A286" t="s">
        <v>326</v>
      </c>
      <c r="B286" t="s">
        <v>15</v>
      </c>
      <c r="C286" t="s">
        <v>34</v>
      </c>
      <c r="D286" t="s">
        <v>17</v>
      </c>
      <c r="E286">
        <v>173785</v>
      </c>
      <c r="F286">
        <v>9.2200000000000006</v>
      </c>
      <c r="G286">
        <v>48</v>
      </c>
      <c r="H286">
        <v>124452</v>
      </c>
      <c r="I286">
        <v>657</v>
      </c>
      <c r="J286" t="s">
        <v>26</v>
      </c>
      <c r="K286">
        <v>16.7</v>
      </c>
      <c r="L286">
        <v>10</v>
      </c>
      <c r="M286" t="s">
        <v>23</v>
      </c>
      <c r="N286">
        <v>44450</v>
      </c>
    </row>
    <row r="287" spans="1:14" x14ac:dyDescent="0.35">
      <c r="A287" t="s">
        <v>327</v>
      </c>
      <c r="B287" t="s">
        <v>30</v>
      </c>
      <c r="C287" t="s">
        <v>22</v>
      </c>
      <c r="D287" t="s">
        <v>32</v>
      </c>
      <c r="E287">
        <v>209535</v>
      </c>
      <c r="F287">
        <v>4.5</v>
      </c>
      <c r="G287">
        <v>120</v>
      </c>
      <c r="H287">
        <v>115593</v>
      </c>
      <c r="I287">
        <v>795</v>
      </c>
      <c r="J287" t="s">
        <v>18</v>
      </c>
      <c r="K287">
        <v>22.2</v>
      </c>
      <c r="L287">
        <v>18.7</v>
      </c>
      <c r="M287" t="s">
        <v>48</v>
      </c>
      <c r="N287">
        <v>44317</v>
      </c>
    </row>
    <row r="288" spans="1:14" x14ac:dyDescent="0.35">
      <c r="A288" t="s">
        <v>328</v>
      </c>
      <c r="B288" t="s">
        <v>15</v>
      </c>
      <c r="C288" t="s">
        <v>16</v>
      </c>
      <c r="D288" t="s">
        <v>17</v>
      </c>
      <c r="E288">
        <v>705769</v>
      </c>
      <c r="F288">
        <v>10.039999999999999</v>
      </c>
      <c r="G288">
        <v>300</v>
      </c>
      <c r="H288">
        <v>194964</v>
      </c>
      <c r="I288">
        <v>677</v>
      </c>
      <c r="J288" t="s">
        <v>18</v>
      </c>
      <c r="K288">
        <v>11.5</v>
      </c>
      <c r="L288">
        <v>34.200000000000003</v>
      </c>
      <c r="M288" t="s">
        <v>19</v>
      </c>
      <c r="N288">
        <v>45252</v>
      </c>
    </row>
    <row r="289" spans="1:14" x14ac:dyDescent="0.35">
      <c r="A289" t="s">
        <v>329</v>
      </c>
      <c r="B289" t="s">
        <v>15</v>
      </c>
      <c r="C289" t="s">
        <v>22</v>
      </c>
      <c r="D289" t="s">
        <v>17</v>
      </c>
      <c r="E289">
        <v>184838</v>
      </c>
      <c r="F289">
        <v>4.5199999999999996</v>
      </c>
      <c r="G289">
        <v>300</v>
      </c>
      <c r="H289">
        <v>134975</v>
      </c>
      <c r="I289">
        <v>815</v>
      </c>
      <c r="J289" t="s">
        <v>18</v>
      </c>
      <c r="K289">
        <v>15.2</v>
      </c>
      <c r="L289">
        <v>29.3</v>
      </c>
      <c r="M289" t="s">
        <v>23</v>
      </c>
      <c r="N289">
        <v>44857</v>
      </c>
    </row>
    <row r="290" spans="1:14" x14ac:dyDescent="0.35">
      <c r="A290" t="s">
        <v>330</v>
      </c>
      <c r="B290" t="s">
        <v>30</v>
      </c>
      <c r="C290" t="s">
        <v>34</v>
      </c>
      <c r="D290" t="s">
        <v>38</v>
      </c>
      <c r="E290">
        <v>575442</v>
      </c>
      <c r="F290">
        <v>7.01</v>
      </c>
      <c r="G290">
        <v>36</v>
      </c>
      <c r="H290">
        <v>105242</v>
      </c>
      <c r="I290">
        <v>728</v>
      </c>
      <c r="J290" t="s">
        <v>39</v>
      </c>
      <c r="K290">
        <v>4.7</v>
      </c>
      <c r="L290">
        <v>45.8</v>
      </c>
      <c r="M290" t="s">
        <v>23</v>
      </c>
      <c r="N290">
        <v>45257</v>
      </c>
    </row>
    <row r="291" spans="1:14" x14ac:dyDescent="0.35">
      <c r="A291" t="s">
        <v>331</v>
      </c>
      <c r="B291" t="s">
        <v>28</v>
      </c>
      <c r="C291" t="s">
        <v>22</v>
      </c>
      <c r="D291" t="s">
        <v>52</v>
      </c>
      <c r="E291">
        <v>274160</v>
      </c>
      <c r="F291">
        <v>4.8099999999999996</v>
      </c>
      <c r="G291">
        <v>240</v>
      </c>
      <c r="H291">
        <v>144041</v>
      </c>
      <c r="I291">
        <v>645</v>
      </c>
      <c r="J291" t="s">
        <v>18</v>
      </c>
      <c r="K291">
        <v>20.100000000000001</v>
      </c>
      <c r="L291">
        <v>23.9</v>
      </c>
      <c r="M291" t="s">
        <v>19</v>
      </c>
      <c r="N291">
        <v>45562</v>
      </c>
    </row>
    <row r="292" spans="1:14" x14ac:dyDescent="0.35">
      <c r="A292" t="s">
        <v>332</v>
      </c>
      <c r="B292" t="s">
        <v>30</v>
      </c>
      <c r="C292" t="s">
        <v>34</v>
      </c>
      <c r="D292" t="s">
        <v>17</v>
      </c>
      <c r="E292">
        <v>477779</v>
      </c>
      <c r="F292">
        <v>11.02</v>
      </c>
      <c r="G292">
        <v>36</v>
      </c>
      <c r="H292">
        <v>154202</v>
      </c>
      <c r="I292">
        <v>813</v>
      </c>
      <c r="J292" t="s">
        <v>26</v>
      </c>
      <c r="K292">
        <v>24.2</v>
      </c>
      <c r="L292">
        <v>35.799999999999997</v>
      </c>
      <c r="M292" t="s">
        <v>19</v>
      </c>
      <c r="N292">
        <v>45233</v>
      </c>
    </row>
    <row r="293" spans="1:14" x14ac:dyDescent="0.35">
      <c r="A293" t="s">
        <v>333</v>
      </c>
      <c r="B293" t="s">
        <v>30</v>
      </c>
      <c r="C293" t="s">
        <v>16</v>
      </c>
      <c r="D293" t="s">
        <v>32</v>
      </c>
      <c r="E293">
        <v>446904</v>
      </c>
      <c r="F293">
        <v>5.53</v>
      </c>
      <c r="G293">
        <v>24</v>
      </c>
      <c r="H293">
        <v>105606</v>
      </c>
      <c r="I293">
        <v>666</v>
      </c>
      <c r="J293" t="s">
        <v>35</v>
      </c>
      <c r="K293">
        <v>6.7</v>
      </c>
      <c r="L293">
        <v>27.6</v>
      </c>
      <c r="M293" t="s">
        <v>23</v>
      </c>
      <c r="N293">
        <v>45403</v>
      </c>
    </row>
    <row r="294" spans="1:14" x14ac:dyDescent="0.35">
      <c r="A294" t="s">
        <v>334</v>
      </c>
      <c r="B294" t="s">
        <v>25</v>
      </c>
      <c r="C294" t="s">
        <v>16</v>
      </c>
      <c r="D294" t="s">
        <v>38</v>
      </c>
      <c r="E294">
        <v>583526</v>
      </c>
      <c r="F294">
        <v>7.63</v>
      </c>
      <c r="G294">
        <v>36</v>
      </c>
      <c r="H294">
        <v>151769</v>
      </c>
      <c r="I294">
        <v>658</v>
      </c>
      <c r="J294" t="s">
        <v>18</v>
      </c>
      <c r="K294">
        <v>12.4</v>
      </c>
      <c r="L294">
        <v>28.5</v>
      </c>
      <c r="M294" t="s">
        <v>48</v>
      </c>
      <c r="N294">
        <v>45485</v>
      </c>
    </row>
    <row r="295" spans="1:14" x14ac:dyDescent="0.35">
      <c r="A295" t="s">
        <v>335</v>
      </c>
      <c r="B295" t="s">
        <v>15</v>
      </c>
      <c r="C295" t="s">
        <v>16</v>
      </c>
      <c r="D295" t="s">
        <v>17</v>
      </c>
      <c r="E295">
        <v>325752</v>
      </c>
      <c r="F295">
        <v>13.32</v>
      </c>
      <c r="G295">
        <v>36</v>
      </c>
      <c r="H295">
        <v>146542</v>
      </c>
      <c r="I295">
        <v>784</v>
      </c>
      <c r="J295" t="s">
        <v>26</v>
      </c>
      <c r="K295">
        <v>2.2000000000000002</v>
      </c>
      <c r="L295">
        <v>18.7</v>
      </c>
      <c r="M295" t="s">
        <v>23</v>
      </c>
      <c r="N295">
        <v>44284</v>
      </c>
    </row>
    <row r="296" spans="1:14" x14ac:dyDescent="0.35">
      <c r="A296" t="s">
        <v>336</v>
      </c>
      <c r="B296" t="s">
        <v>30</v>
      </c>
      <c r="C296" t="s">
        <v>22</v>
      </c>
      <c r="D296" t="s">
        <v>32</v>
      </c>
      <c r="E296">
        <v>618369</v>
      </c>
      <c r="F296">
        <v>5.51</v>
      </c>
      <c r="G296">
        <v>12</v>
      </c>
      <c r="H296">
        <v>134438</v>
      </c>
      <c r="I296">
        <v>833</v>
      </c>
      <c r="J296" t="s">
        <v>26</v>
      </c>
      <c r="K296">
        <v>14</v>
      </c>
      <c r="L296">
        <v>26.2</v>
      </c>
      <c r="M296" t="s">
        <v>23</v>
      </c>
      <c r="N296">
        <v>44242</v>
      </c>
    </row>
    <row r="297" spans="1:14" x14ac:dyDescent="0.35">
      <c r="A297" t="s">
        <v>337</v>
      </c>
      <c r="B297" t="s">
        <v>15</v>
      </c>
      <c r="C297" t="s">
        <v>22</v>
      </c>
      <c r="D297" t="s">
        <v>38</v>
      </c>
      <c r="E297">
        <v>252644</v>
      </c>
      <c r="F297">
        <v>8.94</v>
      </c>
      <c r="G297">
        <v>300</v>
      </c>
      <c r="H297">
        <v>28924</v>
      </c>
      <c r="I297">
        <v>709</v>
      </c>
      <c r="J297" t="s">
        <v>35</v>
      </c>
      <c r="K297">
        <v>12.6</v>
      </c>
      <c r="L297">
        <v>26.8</v>
      </c>
      <c r="M297" t="s">
        <v>48</v>
      </c>
      <c r="N297">
        <v>45612</v>
      </c>
    </row>
    <row r="298" spans="1:14" x14ac:dyDescent="0.35">
      <c r="A298" t="s">
        <v>338</v>
      </c>
      <c r="B298" t="s">
        <v>25</v>
      </c>
      <c r="C298" t="s">
        <v>22</v>
      </c>
      <c r="D298" t="s">
        <v>45</v>
      </c>
      <c r="E298">
        <v>204775</v>
      </c>
      <c r="F298">
        <v>7.94</v>
      </c>
      <c r="G298">
        <v>48</v>
      </c>
      <c r="H298">
        <v>79322</v>
      </c>
      <c r="I298">
        <v>663</v>
      </c>
      <c r="J298" t="s">
        <v>35</v>
      </c>
      <c r="K298">
        <v>3.6</v>
      </c>
      <c r="L298">
        <v>36.299999999999997</v>
      </c>
      <c r="M298" t="s">
        <v>23</v>
      </c>
      <c r="N298">
        <v>45339</v>
      </c>
    </row>
    <row r="299" spans="1:14" x14ac:dyDescent="0.35">
      <c r="A299" t="s">
        <v>339</v>
      </c>
      <c r="B299" t="s">
        <v>30</v>
      </c>
      <c r="C299" t="s">
        <v>22</v>
      </c>
      <c r="D299" t="s">
        <v>17</v>
      </c>
      <c r="E299">
        <v>67551</v>
      </c>
      <c r="F299">
        <v>3.4</v>
      </c>
      <c r="G299">
        <v>240</v>
      </c>
      <c r="H299">
        <v>185550</v>
      </c>
      <c r="I299">
        <v>766</v>
      </c>
      <c r="J299" t="s">
        <v>26</v>
      </c>
      <c r="K299">
        <v>11.1</v>
      </c>
      <c r="L299">
        <v>45.6</v>
      </c>
      <c r="M299" t="s">
        <v>23</v>
      </c>
      <c r="N299">
        <v>45129</v>
      </c>
    </row>
    <row r="300" spans="1:14" x14ac:dyDescent="0.35">
      <c r="A300" t="s">
        <v>340</v>
      </c>
      <c r="B300" t="s">
        <v>28</v>
      </c>
      <c r="C300" t="s">
        <v>16</v>
      </c>
      <c r="D300" t="s">
        <v>17</v>
      </c>
      <c r="E300">
        <v>739983</v>
      </c>
      <c r="F300">
        <v>12.16</v>
      </c>
      <c r="G300">
        <v>48</v>
      </c>
      <c r="H300">
        <v>99042</v>
      </c>
      <c r="I300">
        <v>625</v>
      </c>
      <c r="J300" t="s">
        <v>18</v>
      </c>
      <c r="K300">
        <v>8.4</v>
      </c>
      <c r="L300">
        <v>21.2</v>
      </c>
      <c r="M300" t="s">
        <v>19</v>
      </c>
      <c r="N300">
        <v>44941</v>
      </c>
    </row>
    <row r="301" spans="1:14" x14ac:dyDescent="0.35">
      <c r="A301" t="s">
        <v>341</v>
      </c>
      <c r="B301" t="s">
        <v>30</v>
      </c>
      <c r="C301" t="s">
        <v>22</v>
      </c>
      <c r="D301" t="s">
        <v>38</v>
      </c>
      <c r="E301">
        <v>682800</v>
      </c>
      <c r="F301">
        <v>3.98</v>
      </c>
      <c r="G301">
        <v>12</v>
      </c>
      <c r="H301">
        <v>74418</v>
      </c>
      <c r="I301">
        <v>762</v>
      </c>
      <c r="J301" t="s">
        <v>26</v>
      </c>
      <c r="K301">
        <v>13</v>
      </c>
      <c r="L301">
        <v>9.6999999999999993</v>
      </c>
      <c r="M301" t="s">
        <v>55</v>
      </c>
      <c r="N301">
        <v>45163</v>
      </c>
    </row>
    <row r="302" spans="1:14" x14ac:dyDescent="0.35">
      <c r="A302" t="s">
        <v>342</v>
      </c>
      <c r="B302" t="s">
        <v>30</v>
      </c>
      <c r="C302" t="s">
        <v>22</v>
      </c>
      <c r="D302" t="s">
        <v>32</v>
      </c>
      <c r="E302">
        <v>171277</v>
      </c>
      <c r="F302">
        <v>8.56</v>
      </c>
      <c r="G302">
        <v>12</v>
      </c>
      <c r="H302">
        <v>128699</v>
      </c>
      <c r="I302">
        <v>847</v>
      </c>
      <c r="J302" t="s">
        <v>18</v>
      </c>
      <c r="K302">
        <v>14.6</v>
      </c>
      <c r="L302">
        <v>27.9</v>
      </c>
      <c r="M302" t="s">
        <v>23</v>
      </c>
      <c r="N302">
        <v>44959</v>
      </c>
    </row>
    <row r="303" spans="1:14" x14ac:dyDescent="0.35">
      <c r="A303" t="s">
        <v>343</v>
      </c>
      <c r="B303" t="s">
        <v>15</v>
      </c>
      <c r="C303" t="s">
        <v>34</v>
      </c>
      <c r="D303" t="s">
        <v>17</v>
      </c>
      <c r="E303">
        <v>85811</v>
      </c>
      <c r="F303">
        <v>9.5399999999999991</v>
      </c>
      <c r="G303">
        <v>36</v>
      </c>
      <c r="H303">
        <v>118140</v>
      </c>
      <c r="I303">
        <v>679</v>
      </c>
      <c r="J303" t="s">
        <v>26</v>
      </c>
      <c r="K303">
        <v>0.2</v>
      </c>
      <c r="L303">
        <v>29.8</v>
      </c>
      <c r="M303" t="s">
        <v>48</v>
      </c>
      <c r="N303">
        <v>44958</v>
      </c>
    </row>
    <row r="304" spans="1:14" x14ac:dyDescent="0.35">
      <c r="A304" t="s">
        <v>344</v>
      </c>
      <c r="B304" t="s">
        <v>15</v>
      </c>
      <c r="C304" t="s">
        <v>34</v>
      </c>
      <c r="D304" t="s">
        <v>38</v>
      </c>
      <c r="E304">
        <v>469028</v>
      </c>
      <c r="F304">
        <v>10.3</v>
      </c>
      <c r="G304">
        <v>60</v>
      </c>
      <c r="H304">
        <v>39781</v>
      </c>
      <c r="I304">
        <v>657</v>
      </c>
      <c r="J304" t="s">
        <v>39</v>
      </c>
      <c r="K304">
        <v>19</v>
      </c>
      <c r="L304">
        <v>14.7</v>
      </c>
      <c r="M304" t="s">
        <v>19</v>
      </c>
      <c r="N304">
        <v>44990</v>
      </c>
    </row>
    <row r="305" spans="1:14" x14ac:dyDescent="0.35">
      <c r="A305" t="s">
        <v>345</v>
      </c>
      <c r="B305" t="s">
        <v>28</v>
      </c>
      <c r="C305" t="s">
        <v>34</v>
      </c>
      <c r="D305" t="s">
        <v>17</v>
      </c>
      <c r="E305">
        <v>373266</v>
      </c>
      <c r="F305">
        <v>10.98</v>
      </c>
      <c r="G305">
        <v>300</v>
      </c>
      <c r="H305">
        <v>164587</v>
      </c>
      <c r="I305">
        <v>741</v>
      </c>
      <c r="J305" t="s">
        <v>18</v>
      </c>
      <c r="K305">
        <v>17.8</v>
      </c>
      <c r="L305">
        <v>38.4</v>
      </c>
      <c r="M305" t="s">
        <v>23</v>
      </c>
      <c r="N305">
        <v>44940</v>
      </c>
    </row>
    <row r="306" spans="1:14" x14ac:dyDescent="0.35">
      <c r="A306" t="s">
        <v>346</v>
      </c>
      <c r="B306" t="s">
        <v>28</v>
      </c>
      <c r="C306" t="s">
        <v>34</v>
      </c>
      <c r="D306" t="s">
        <v>38</v>
      </c>
      <c r="E306">
        <v>239104</v>
      </c>
      <c r="F306">
        <v>6.06</v>
      </c>
      <c r="G306">
        <v>120</v>
      </c>
      <c r="H306">
        <v>145358</v>
      </c>
      <c r="I306">
        <v>623</v>
      </c>
      <c r="J306" t="s">
        <v>26</v>
      </c>
      <c r="K306">
        <v>9.1999999999999993</v>
      </c>
      <c r="L306">
        <v>47.4</v>
      </c>
      <c r="M306" t="s">
        <v>19</v>
      </c>
      <c r="N306">
        <v>45266</v>
      </c>
    </row>
    <row r="307" spans="1:14" x14ac:dyDescent="0.35">
      <c r="A307" t="s">
        <v>347</v>
      </c>
      <c r="B307" t="s">
        <v>110</v>
      </c>
      <c r="C307" t="s">
        <v>22</v>
      </c>
      <c r="D307" t="s">
        <v>17</v>
      </c>
      <c r="E307">
        <v>548296</v>
      </c>
      <c r="F307">
        <v>3.31</v>
      </c>
      <c r="G307">
        <v>300</v>
      </c>
      <c r="H307">
        <v>64133</v>
      </c>
      <c r="I307">
        <v>817</v>
      </c>
      <c r="J307" t="s">
        <v>18</v>
      </c>
      <c r="K307">
        <v>1.3</v>
      </c>
      <c r="L307">
        <v>45.8</v>
      </c>
      <c r="M307" t="s">
        <v>23</v>
      </c>
      <c r="N307">
        <v>44754</v>
      </c>
    </row>
    <row r="308" spans="1:14" x14ac:dyDescent="0.35">
      <c r="A308" t="s">
        <v>348</v>
      </c>
      <c r="B308" t="s">
        <v>15</v>
      </c>
      <c r="C308" t="s">
        <v>22</v>
      </c>
      <c r="D308" t="s">
        <v>52</v>
      </c>
      <c r="E308">
        <v>207346</v>
      </c>
      <c r="F308">
        <v>11.37</v>
      </c>
      <c r="G308">
        <v>120</v>
      </c>
      <c r="H308">
        <v>125628</v>
      </c>
      <c r="I308">
        <v>713</v>
      </c>
      <c r="J308" t="s">
        <v>18</v>
      </c>
      <c r="K308">
        <v>18.899999999999999</v>
      </c>
      <c r="L308">
        <v>15.9</v>
      </c>
      <c r="M308" t="s">
        <v>23</v>
      </c>
      <c r="N308">
        <v>44722</v>
      </c>
    </row>
    <row r="309" spans="1:14" x14ac:dyDescent="0.35">
      <c r="A309" t="s">
        <v>349</v>
      </c>
      <c r="B309" t="s">
        <v>30</v>
      </c>
      <c r="C309" t="s">
        <v>16</v>
      </c>
      <c r="D309" t="s">
        <v>17</v>
      </c>
      <c r="E309">
        <v>561690</v>
      </c>
      <c r="F309">
        <v>9.25</v>
      </c>
      <c r="G309">
        <v>36</v>
      </c>
      <c r="H309">
        <v>104946</v>
      </c>
      <c r="I309">
        <v>771</v>
      </c>
      <c r="J309" t="s">
        <v>18</v>
      </c>
      <c r="K309">
        <v>23.9</v>
      </c>
      <c r="L309">
        <v>43</v>
      </c>
      <c r="M309" t="s">
        <v>19</v>
      </c>
      <c r="N309">
        <v>44793</v>
      </c>
    </row>
    <row r="310" spans="1:14" x14ac:dyDescent="0.35">
      <c r="A310" t="s">
        <v>350</v>
      </c>
      <c r="B310" t="s">
        <v>25</v>
      </c>
      <c r="C310" t="s">
        <v>16</v>
      </c>
      <c r="D310" t="s">
        <v>17</v>
      </c>
      <c r="E310">
        <v>189456</v>
      </c>
      <c r="F310">
        <v>12.65</v>
      </c>
      <c r="G310">
        <v>120</v>
      </c>
      <c r="H310">
        <v>113058</v>
      </c>
      <c r="I310">
        <v>597</v>
      </c>
      <c r="J310" t="s">
        <v>26</v>
      </c>
      <c r="K310">
        <v>6</v>
      </c>
      <c r="L310">
        <v>36.200000000000003</v>
      </c>
      <c r="M310" t="s">
        <v>48</v>
      </c>
      <c r="N310">
        <v>45036</v>
      </c>
    </row>
    <row r="311" spans="1:14" x14ac:dyDescent="0.35">
      <c r="A311" t="s">
        <v>351</v>
      </c>
      <c r="B311" t="s">
        <v>30</v>
      </c>
      <c r="C311" t="s">
        <v>22</v>
      </c>
      <c r="D311" t="s">
        <v>17</v>
      </c>
      <c r="E311">
        <v>404009</v>
      </c>
      <c r="F311">
        <v>12.48</v>
      </c>
      <c r="G311">
        <v>12</v>
      </c>
      <c r="H311">
        <v>168167</v>
      </c>
      <c r="I311">
        <v>591</v>
      </c>
      <c r="J311" t="s">
        <v>39</v>
      </c>
      <c r="K311">
        <v>8.1</v>
      </c>
      <c r="L311">
        <v>26.2</v>
      </c>
      <c r="M311" t="s">
        <v>23</v>
      </c>
      <c r="N311">
        <v>44199</v>
      </c>
    </row>
    <row r="312" spans="1:14" x14ac:dyDescent="0.35">
      <c r="A312" t="s">
        <v>352</v>
      </c>
      <c r="B312" t="s">
        <v>15</v>
      </c>
      <c r="C312" t="s">
        <v>34</v>
      </c>
      <c r="D312" t="s">
        <v>17</v>
      </c>
      <c r="E312">
        <v>501043</v>
      </c>
      <c r="F312">
        <v>12.73</v>
      </c>
      <c r="G312">
        <v>48</v>
      </c>
      <c r="H312">
        <v>179542</v>
      </c>
      <c r="I312">
        <v>759</v>
      </c>
      <c r="J312" t="s">
        <v>39</v>
      </c>
      <c r="K312">
        <v>4.5999999999999996</v>
      </c>
      <c r="L312">
        <v>29.6</v>
      </c>
      <c r="M312" t="s">
        <v>23</v>
      </c>
      <c r="N312">
        <v>45248</v>
      </c>
    </row>
    <row r="313" spans="1:14" x14ac:dyDescent="0.35">
      <c r="A313" t="s">
        <v>353</v>
      </c>
      <c r="B313" t="s">
        <v>30</v>
      </c>
      <c r="C313" t="s">
        <v>22</v>
      </c>
      <c r="D313" t="s">
        <v>43</v>
      </c>
      <c r="E313">
        <v>141643</v>
      </c>
      <c r="F313">
        <v>8.68</v>
      </c>
      <c r="G313">
        <v>120</v>
      </c>
      <c r="H313">
        <v>71129</v>
      </c>
      <c r="I313">
        <v>702</v>
      </c>
      <c r="J313" t="s">
        <v>18</v>
      </c>
      <c r="K313">
        <v>14.4</v>
      </c>
      <c r="L313">
        <v>42</v>
      </c>
      <c r="M313" t="s">
        <v>23</v>
      </c>
      <c r="N313">
        <v>45601</v>
      </c>
    </row>
    <row r="314" spans="1:14" x14ac:dyDescent="0.35">
      <c r="A314" t="s">
        <v>354</v>
      </c>
      <c r="B314" t="s">
        <v>30</v>
      </c>
      <c r="C314" t="s">
        <v>22</v>
      </c>
      <c r="D314" t="s">
        <v>52</v>
      </c>
      <c r="E314">
        <v>495083</v>
      </c>
      <c r="F314">
        <v>6.97</v>
      </c>
      <c r="G314">
        <v>300</v>
      </c>
      <c r="H314">
        <v>36531</v>
      </c>
      <c r="I314">
        <v>825</v>
      </c>
      <c r="J314" t="s">
        <v>39</v>
      </c>
      <c r="K314">
        <v>3.9</v>
      </c>
      <c r="L314">
        <v>27.2</v>
      </c>
      <c r="M314" t="s">
        <v>23</v>
      </c>
      <c r="N314">
        <v>44353</v>
      </c>
    </row>
    <row r="315" spans="1:14" x14ac:dyDescent="0.35">
      <c r="A315" t="s">
        <v>355</v>
      </c>
      <c r="B315" t="s">
        <v>21</v>
      </c>
      <c r="C315" t="s">
        <v>16</v>
      </c>
      <c r="D315" t="s">
        <v>17</v>
      </c>
      <c r="E315">
        <v>118550</v>
      </c>
      <c r="F315">
        <v>12.14</v>
      </c>
      <c r="G315">
        <v>240</v>
      </c>
      <c r="H315">
        <v>65038</v>
      </c>
      <c r="I315">
        <v>801</v>
      </c>
      <c r="J315" t="s">
        <v>26</v>
      </c>
      <c r="K315">
        <v>8.9</v>
      </c>
      <c r="L315">
        <v>22.9</v>
      </c>
      <c r="M315" t="s">
        <v>23</v>
      </c>
      <c r="N315">
        <v>45051</v>
      </c>
    </row>
    <row r="316" spans="1:14" x14ac:dyDescent="0.35">
      <c r="A316" t="s">
        <v>356</v>
      </c>
      <c r="B316" t="s">
        <v>25</v>
      </c>
      <c r="C316" t="s">
        <v>16</v>
      </c>
      <c r="D316" t="s">
        <v>32</v>
      </c>
      <c r="E316">
        <v>489146</v>
      </c>
      <c r="F316">
        <v>8.3000000000000007</v>
      </c>
      <c r="G316">
        <v>36</v>
      </c>
      <c r="H316">
        <v>115939</v>
      </c>
      <c r="I316">
        <v>630</v>
      </c>
      <c r="J316" t="s">
        <v>18</v>
      </c>
      <c r="K316">
        <v>17.399999999999999</v>
      </c>
      <c r="L316">
        <v>27.7</v>
      </c>
      <c r="M316" t="s">
        <v>23</v>
      </c>
      <c r="N316">
        <v>44707</v>
      </c>
    </row>
    <row r="317" spans="1:14" x14ac:dyDescent="0.35">
      <c r="A317" t="s">
        <v>357</v>
      </c>
      <c r="B317" t="s">
        <v>28</v>
      </c>
      <c r="C317" t="s">
        <v>16</v>
      </c>
      <c r="D317" t="s">
        <v>38</v>
      </c>
      <c r="E317">
        <v>96218</v>
      </c>
      <c r="F317">
        <v>5.27</v>
      </c>
      <c r="G317">
        <v>60</v>
      </c>
      <c r="H317">
        <v>70674</v>
      </c>
      <c r="I317">
        <v>650</v>
      </c>
      <c r="J317" t="s">
        <v>18</v>
      </c>
      <c r="K317">
        <v>14</v>
      </c>
      <c r="L317">
        <v>31.2</v>
      </c>
      <c r="M317" t="s">
        <v>19</v>
      </c>
      <c r="N317">
        <v>45553</v>
      </c>
    </row>
    <row r="318" spans="1:14" x14ac:dyDescent="0.35">
      <c r="A318" t="s">
        <v>358</v>
      </c>
      <c r="B318" t="s">
        <v>15</v>
      </c>
      <c r="C318" t="s">
        <v>22</v>
      </c>
      <c r="D318" t="s">
        <v>43</v>
      </c>
      <c r="E318">
        <v>138296</v>
      </c>
      <c r="F318">
        <v>12.86</v>
      </c>
      <c r="G318">
        <v>36</v>
      </c>
      <c r="H318">
        <v>155572</v>
      </c>
      <c r="I318">
        <v>627</v>
      </c>
      <c r="J318" t="s">
        <v>18</v>
      </c>
      <c r="K318">
        <v>9.6999999999999993</v>
      </c>
      <c r="L318">
        <v>15.6</v>
      </c>
      <c r="M318" t="s">
        <v>23</v>
      </c>
      <c r="N318">
        <v>44883</v>
      </c>
    </row>
    <row r="319" spans="1:14" x14ac:dyDescent="0.35">
      <c r="A319" t="s">
        <v>359</v>
      </c>
      <c r="B319" t="s">
        <v>30</v>
      </c>
      <c r="C319" t="s">
        <v>34</v>
      </c>
      <c r="D319" t="s">
        <v>45</v>
      </c>
      <c r="E319">
        <v>504909</v>
      </c>
      <c r="F319">
        <v>13.17</v>
      </c>
      <c r="G319">
        <v>24</v>
      </c>
      <c r="H319">
        <v>57831</v>
      </c>
      <c r="I319">
        <v>598</v>
      </c>
      <c r="J319" t="s">
        <v>39</v>
      </c>
      <c r="K319">
        <v>10.5</v>
      </c>
      <c r="L319">
        <v>44</v>
      </c>
      <c r="M319" t="s">
        <v>23</v>
      </c>
      <c r="N319">
        <v>45334</v>
      </c>
    </row>
    <row r="320" spans="1:14" x14ac:dyDescent="0.35">
      <c r="A320" t="s">
        <v>360</v>
      </c>
      <c r="B320" t="s">
        <v>30</v>
      </c>
      <c r="C320" t="s">
        <v>22</v>
      </c>
      <c r="D320" t="s">
        <v>32</v>
      </c>
      <c r="E320">
        <v>523767</v>
      </c>
      <c r="F320">
        <v>8.4700000000000006</v>
      </c>
      <c r="G320">
        <v>36</v>
      </c>
      <c r="H320">
        <v>85174</v>
      </c>
      <c r="I320">
        <v>841</v>
      </c>
      <c r="J320" t="s">
        <v>26</v>
      </c>
      <c r="K320">
        <v>14.1</v>
      </c>
      <c r="L320">
        <v>35</v>
      </c>
      <c r="M320" t="s">
        <v>55</v>
      </c>
      <c r="N320">
        <v>45609</v>
      </c>
    </row>
    <row r="321" spans="1:14" x14ac:dyDescent="0.35">
      <c r="A321" t="s">
        <v>361</v>
      </c>
      <c r="B321" t="s">
        <v>30</v>
      </c>
      <c r="C321" t="s">
        <v>22</v>
      </c>
      <c r="D321" t="s">
        <v>32</v>
      </c>
      <c r="E321">
        <v>184767</v>
      </c>
      <c r="F321">
        <v>4.0599999999999996</v>
      </c>
      <c r="G321">
        <v>12</v>
      </c>
      <c r="H321">
        <v>39279</v>
      </c>
      <c r="I321">
        <v>663</v>
      </c>
      <c r="J321" t="s">
        <v>26</v>
      </c>
      <c r="K321">
        <v>0.1</v>
      </c>
      <c r="L321">
        <v>33.299999999999997</v>
      </c>
      <c r="M321" t="s">
        <v>55</v>
      </c>
      <c r="N321">
        <v>45470</v>
      </c>
    </row>
    <row r="322" spans="1:14" x14ac:dyDescent="0.35">
      <c r="A322" t="s">
        <v>362</v>
      </c>
      <c r="B322" t="s">
        <v>15</v>
      </c>
      <c r="C322" t="s">
        <v>34</v>
      </c>
      <c r="D322" t="s">
        <v>45</v>
      </c>
      <c r="E322">
        <v>396858</v>
      </c>
      <c r="F322">
        <v>7.58</v>
      </c>
      <c r="G322">
        <v>48</v>
      </c>
      <c r="H322">
        <v>197292</v>
      </c>
      <c r="I322">
        <v>734</v>
      </c>
      <c r="J322" t="s">
        <v>18</v>
      </c>
      <c r="K322">
        <v>2</v>
      </c>
      <c r="L322">
        <v>12</v>
      </c>
      <c r="M322" t="s">
        <v>23</v>
      </c>
      <c r="N322">
        <v>44767</v>
      </c>
    </row>
    <row r="323" spans="1:14" x14ac:dyDescent="0.35">
      <c r="A323" t="s">
        <v>363</v>
      </c>
      <c r="B323" t="s">
        <v>28</v>
      </c>
      <c r="C323" t="s">
        <v>34</v>
      </c>
      <c r="D323" t="s">
        <v>17</v>
      </c>
      <c r="E323">
        <v>245016</v>
      </c>
      <c r="F323">
        <v>12.28</v>
      </c>
      <c r="G323">
        <v>48</v>
      </c>
      <c r="H323">
        <v>88610</v>
      </c>
      <c r="I323">
        <v>632</v>
      </c>
      <c r="J323" t="s">
        <v>26</v>
      </c>
      <c r="K323">
        <v>22</v>
      </c>
      <c r="L323">
        <v>32.200000000000003</v>
      </c>
      <c r="M323" t="s">
        <v>23</v>
      </c>
      <c r="N323">
        <v>44911</v>
      </c>
    </row>
    <row r="324" spans="1:14" x14ac:dyDescent="0.35">
      <c r="A324" t="s">
        <v>364</v>
      </c>
      <c r="B324" t="s">
        <v>28</v>
      </c>
      <c r="C324" t="s">
        <v>34</v>
      </c>
      <c r="D324" t="s">
        <v>45</v>
      </c>
      <c r="E324">
        <v>37441</v>
      </c>
      <c r="F324">
        <v>13.39</v>
      </c>
      <c r="G324">
        <v>240</v>
      </c>
      <c r="H324">
        <v>211791</v>
      </c>
      <c r="I324">
        <v>686</v>
      </c>
      <c r="J324" t="s">
        <v>18</v>
      </c>
      <c r="K324">
        <v>1.9</v>
      </c>
      <c r="L324">
        <v>12.8</v>
      </c>
      <c r="M324" t="s">
        <v>19</v>
      </c>
      <c r="N324">
        <v>45535</v>
      </c>
    </row>
    <row r="325" spans="1:14" x14ac:dyDescent="0.35">
      <c r="A325" t="s">
        <v>365</v>
      </c>
      <c r="B325" t="s">
        <v>30</v>
      </c>
      <c r="C325" t="s">
        <v>34</v>
      </c>
      <c r="D325" t="s">
        <v>17</v>
      </c>
      <c r="E325">
        <v>243038</v>
      </c>
      <c r="F325">
        <v>5.5</v>
      </c>
      <c r="G325">
        <v>120</v>
      </c>
      <c r="H325">
        <v>81051</v>
      </c>
      <c r="I325">
        <v>714</v>
      </c>
      <c r="J325" t="s">
        <v>18</v>
      </c>
      <c r="K325">
        <v>17.7</v>
      </c>
      <c r="L325">
        <v>11.1</v>
      </c>
      <c r="M325" t="s">
        <v>23</v>
      </c>
      <c r="N325">
        <v>44435</v>
      </c>
    </row>
    <row r="326" spans="1:14" x14ac:dyDescent="0.35">
      <c r="A326" t="s">
        <v>366</v>
      </c>
      <c r="B326" t="s">
        <v>21</v>
      </c>
      <c r="C326" t="s">
        <v>16</v>
      </c>
      <c r="D326" t="s">
        <v>38</v>
      </c>
      <c r="E326">
        <v>699489</v>
      </c>
      <c r="F326">
        <v>3.96</v>
      </c>
      <c r="G326">
        <v>12</v>
      </c>
      <c r="H326">
        <v>84652</v>
      </c>
      <c r="I326">
        <v>648</v>
      </c>
      <c r="J326" t="s">
        <v>26</v>
      </c>
      <c r="K326">
        <v>23</v>
      </c>
      <c r="L326">
        <v>29.1</v>
      </c>
      <c r="M326" t="s">
        <v>23</v>
      </c>
      <c r="N326">
        <v>45454</v>
      </c>
    </row>
    <row r="327" spans="1:14" x14ac:dyDescent="0.35">
      <c r="A327" t="s">
        <v>367</v>
      </c>
      <c r="B327" t="s">
        <v>25</v>
      </c>
      <c r="C327" t="s">
        <v>16</v>
      </c>
      <c r="D327" t="s">
        <v>17</v>
      </c>
      <c r="E327">
        <v>621410</v>
      </c>
      <c r="F327">
        <v>13.11</v>
      </c>
      <c r="G327">
        <v>24</v>
      </c>
      <c r="H327">
        <v>93524</v>
      </c>
      <c r="I327">
        <v>590</v>
      </c>
      <c r="J327" t="s">
        <v>18</v>
      </c>
      <c r="K327">
        <v>6.8</v>
      </c>
      <c r="L327">
        <v>24.1</v>
      </c>
      <c r="M327" t="s">
        <v>19</v>
      </c>
      <c r="N327">
        <v>44499</v>
      </c>
    </row>
    <row r="328" spans="1:14" x14ac:dyDescent="0.35">
      <c r="A328" t="s">
        <v>368</v>
      </c>
      <c r="B328" t="s">
        <v>15</v>
      </c>
      <c r="C328" t="s">
        <v>22</v>
      </c>
      <c r="D328" t="s">
        <v>45</v>
      </c>
      <c r="E328">
        <v>49760</v>
      </c>
      <c r="F328">
        <v>7.6</v>
      </c>
      <c r="G328">
        <v>12</v>
      </c>
      <c r="H328">
        <v>34470</v>
      </c>
      <c r="I328">
        <v>722</v>
      </c>
      <c r="J328" t="s">
        <v>26</v>
      </c>
      <c r="K328">
        <v>9.3000000000000007</v>
      </c>
      <c r="L328">
        <v>31.6</v>
      </c>
      <c r="M328" t="s">
        <v>23</v>
      </c>
      <c r="N328">
        <v>44803</v>
      </c>
    </row>
    <row r="329" spans="1:14" x14ac:dyDescent="0.35">
      <c r="A329" t="s">
        <v>369</v>
      </c>
      <c r="B329" t="s">
        <v>28</v>
      </c>
      <c r="C329" t="s">
        <v>22</v>
      </c>
      <c r="D329" t="s">
        <v>32</v>
      </c>
      <c r="E329">
        <v>290622</v>
      </c>
      <c r="F329">
        <v>9.32</v>
      </c>
      <c r="G329">
        <v>36</v>
      </c>
      <c r="H329">
        <v>200870</v>
      </c>
      <c r="I329">
        <v>771</v>
      </c>
      <c r="J329" t="s">
        <v>18</v>
      </c>
      <c r="K329">
        <v>14.2</v>
      </c>
      <c r="L329">
        <v>11.6</v>
      </c>
      <c r="M329" t="s">
        <v>23</v>
      </c>
      <c r="N329">
        <v>45187</v>
      </c>
    </row>
    <row r="330" spans="1:14" x14ac:dyDescent="0.35">
      <c r="A330" t="s">
        <v>370</v>
      </c>
      <c r="B330" t="s">
        <v>15</v>
      </c>
      <c r="C330" t="s">
        <v>22</v>
      </c>
      <c r="D330" t="s">
        <v>45</v>
      </c>
      <c r="E330">
        <v>352860</v>
      </c>
      <c r="F330">
        <v>14.14</v>
      </c>
      <c r="G330">
        <v>12</v>
      </c>
      <c r="H330">
        <v>81473</v>
      </c>
      <c r="I330">
        <v>648</v>
      </c>
      <c r="J330" t="s">
        <v>26</v>
      </c>
      <c r="K330">
        <v>22</v>
      </c>
      <c r="L330">
        <v>25.2</v>
      </c>
      <c r="M330" t="s">
        <v>23</v>
      </c>
      <c r="N330">
        <v>44530</v>
      </c>
    </row>
    <row r="331" spans="1:14" x14ac:dyDescent="0.35">
      <c r="A331" t="s">
        <v>371</v>
      </c>
      <c r="B331" t="s">
        <v>30</v>
      </c>
      <c r="C331" t="s">
        <v>22</v>
      </c>
      <c r="D331" t="s">
        <v>17</v>
      </c>
      <c r="E331">
        <v>672540</v>
      </c>
      <c r="F331">
        <v>3.95</v>
      </c>
      <c r="G331">
        <v>12</v>
      </c>
      <c r="H331">
        <v>178952</v>
      </c>
      <c r="I331">
        <v>602</v>
      </c>
      <c r="J331" t="s">
        <v>18</v>
      </c>
      <c r="K331">
        <v>23.5</v>
      </c>
      <c r="L331">
        <v>15</v>
      </c>
      <c r="M331" t="s">
        <v>23</v>
      </c>
      <c r="N331">
        <v>44309</v>
      </c>
    </row>
    <row r="332" spans="1:14" x14ac:dyDescent="0.35">
      <c r="A332" t="s">
        <v>372</v>
      </c>
      <c r="B332" t="s">
        <v>30</v>
      </c>
      <c r="C332" t="s">
        <v>16</v>
      </c>
      <c r="D332" t="s">
        <v>45</v>
      </c>
      <c r="E332">
        <v>103538</v>
      </c>
      <c r="F332">
        <v>10.53</v>
      </c>
      <c r="G332">
        <v>240</v>
      </c>
      <c r="H332">
        <v>72439</v>
      </c>
      <c r="I332">
        <v>760</v>
      </c>
      <c r="J332" t="s">
        <v>18</v>
      </c>
      <c r="K332">
        <v>18.5</v>
      </c>
      <c r="L332">
        <v>47.5</v>
      </c>
      <c r="M332" t="s">
        <v>23</v>
      </c>
      <c r="N332">
        <v>44558</v>
      </c>
    </row>
    <row r="333" spans="1:14" x14ac:dyDescent="0.35">
      <c r="A333" t="s">
        <v>373</v>
      </c>
      <c r="B333" t="s">
        <v>25</v>
      </c>
      <c r="C333" t="s">
        <v>22</v>
      </c>
      <c r="D333" t="s">
        <v>45</v>
      </c>
      <c r="E333">
        <v>544660</v>
      </c>
      <c r="F333">
        <v>4.04</v>
      </c>
      <c r="G333">
        <v>24</v>
      </c>
      <c r="H333">
        <v>42308</v>
      </c>
      <c r="I333">
        <v>588</v>
      </c>
      <c r="J333" t="s">
        <v>18</v>
      </c>
      <c r="K333">
        <v>2.2000000000000002</v>
      </c>
      <c r="L333">
        <v>30.4</v>
      </c>
      <c r="M333" t="s">
        <v>48</v>
      </c>
      <c r="N333">
        <v>44997</v>
      </c>
    </row>
    <row r="334" spans="1:14" x14ac:dyDescent="0.35">
      <c r="A334" t="s">
        <v>374</v>
      </c>
      <c r="B334" t="s">
        <v>30</v>
      </c>
      <c r="C334" t="s">
        <v>22</v>
      </c>
      <c r="D334" t="s">
        <v>45</v>
      </c>
      <c r="E334">
        <v>516511</v>
      </c>
      <c r="F334">
        <v>7.44</v>
      </c>
      <c r="G334">
        <v>36</v>
      </c>
      <c r="H334">
        <v>119563</v>
      </c>
      <c r="I334">
        <v>672</v>
      </c>
      <c r="J334" t="s">
        <v>18</v>
      </c>
      <c r="K334">
        <v>16.7</v>
      </c>
      <c r="L334">
        <v>35.5</v>
      </c>
      <c r="M334" t="s">
        <v>23</v>
      </c>
      <c r="N334">
        <v>44293</v>
      </c>
    </row>
    <row r="335" spans="1:14" x14ac:dyDescent="0.35">
      <c r="A335" t="s">
        <v>375</v>
      </c>
      <c r="B335" t="s">
        <v>30</v>
      </c>
      <c r="C335" t="s">
        <v>22</v>
      </c>
      <c r="D335" t="s">
        <v>45</v>
      </c>
      <c r="E335">
        <v>226035</v>
      </c>
      <c r="F335">
        <v>12.28</v>
      </c>
      <c r="G335">
        <v>60</v>
      </c>
      <c r="H335">
        <v>63081</v>
      </c>
      <c r="I335">
        <v>596</v>
      </c>
      <c r="J335" t="s">
        <v>39</v>
      </c>
      <c r="K335">
        <v>10.3</v>
      </c>
      <c r="L335">
        <v>21</v>
      </c>
      <c r="M335" t="s">
        <v>23</v>
      </c>
      <c r="N335">
        <v>44212</v>
      </c>
    </row>
    <row r="336" spans="1:14" x14ac:dyDescent="0.35">
      <c r="A336" t="s">
        <v>376</v>
      </c>
      <c r="B336" t="s">
        <v>30</v>
      </c>
      <c r="C336" t="s">
        <v>16</v>
      </c>
      <c r="D336" t="s">
        <v>45</v>
      </c>
      <c r="E336">
        <v>387736</v>
      </c>
      <c r="F336">
        <v>8.1</v>
      </c>
      <c r="G336">
        <v>240</v>
      </c>
      <c r="H336">
        <v>209455</v>
      </c>
      <c r="I336">
        <v>733</v>
      </c>
      <c r="J336" t="s">
        <v>18</v>
      </c>
      <c r="K336">
        <v>11.8</v>
      </c>
      <c r="L336">
        <v>11.8</v>
      </c>
      <c r="M336" t="s">
        <v>23</v>
      </c>
      <c r="N336">
        <v>44752</v>
      </c>
    </row>
    <row r="337" spans="1:14" x14ac:dyDescent="0.35">
      <c r="A337" t="s">
        <v>377</v>
      </c>
      <c r="B337" t="s">
        <v>30</v>
      </c>
      <c r="C337" t="s">
        <v>22</v>
      </c>
      <c r="D337" t="s">
        <v>38</v>
      </c>
      <c r="E337">
        <v>360779</v>
      </c>
      <c r="F337">
        <v>14.47</v>
      </c>
      <c r="G337">
        <v>60</v>
      </c>
      <c r="H337">
        <v>37837</v>
      </c>
      <c r="I337">
        <v>728</v>
      </c>
      <c r="J337" t="s">
        <v>26</v>
      </c>
      <c r="K337">
        <v>1.2</v>
      </c>
      <c r="L337">
        <v>47</v>
      </c>
      <c r="M337" t="s">
        <v>48</v>
      </c>
      <c r="N337">
        <v>44572</v>
      </c>
    </row>
    <row r="338" spans="1:14" x14ac:dyDescent="0.35">
      <c r="A338" t="s">
        <v>378</v>
      </c>
      <c r="B338" t="s">
        <v>37</v>
      </c>
      <c r="C338" t="s">
        <v>34</v>
      </c>
      <c r="D338" t="s">
        <v>17</v>
      </c>
      <c r="E338">
        <v>640310</v>
      </c>
      <c r="F338">
        <v>9.52</v>
      </c>
      <c r="G338">
        <v>240</v>
      </c>
      <c r="H338">
        <v>211223</v>
      </c>
      <c r="I338">
        <v>846</v>
      </c>
      <c r="J338" t="s">
        <v>35</v>
      </c>
      <c r="K338">
        <v>4.8</v>
      </c>
      <c r="L338">
        <v>19.5</v>
      </c>
      <c r="M338" t="s">
        <v>19</v>
      </c>
      <c r="N338">
        <v>44938</v>
      </c>
    </row>
    <row r="339" spans="1:14" x14ac:dyDescent="0.35">
      <c r="A339" t="s">
        <v>379</v>
      </c>
      <c r="B339" t="s">
        <v>28</v>
      </c>
      <c r="C339" t="s">
        <v>22</v>
      </c>
      <c r="D339" t="s">
        <v>43</v>
      </c>
      <c r="E339">
        <v>583328</v>
      </c>
      <c r="F339">
        <v>6.83</v>
      </c>
      <c r="G339">
        <v>48</v>
      </c>
      <c r="H339">
        <v>146128</v>
      </c>
      <c r="I339">
        <v>685</v>
      </c>
      <c r="J339" t="s">
        <v>18</v>
      </c>
      <c r="K339">
        <v>19.8</v>
      </c>
      <c r="L339">
        <v>25</v>
      </c>
      <c r="M339" t="s">
        <v>23</v>
      </c>
      <c r="N339">
        <v>44586</v>
      </c>
    </row>
    <row r="340" spans="1:14" x14ac:dyDescent="0.35">
      <c r="A340" t="s">
        <v>380</v>
      </c>
      <c r="B340" t="s">
        <v>15</v>
      </c>
      <c r="C340" t="s">
        <v>22</v>
      </c>
      <c r="D340" t="s">
        <v>32</v>
      </c>
      <c r="E340">
        <v>731728</v>
      </c>
      <c r="F340">
        <v>5.69</v>
      </c>
      <c r="G340">
        <v>300</v>
      </c>
      <c r="H340">
        <v>195896</v>
      </c>
      <c r="I340">
        <v>614</v>
      </c>
      <c r="J340" t="s">
        <v>18</v>
      </c>
      <c r="K340">
        <v>11.3</v>
      </c>
      <c r="L340">
        <v>34</v>
      </c>
      <c r="M340" t="s">
        <v>55</v>
      </c>
      <c r="N340">
        <v>44816</v>
      </c>
    </row>
    <row r="341" spans="1:14" x14ac:dyDescent="0.35">
      <c r="A341" t="s">
        <v>381</v>
      </c>
      <c r="B341" t="s">
        <v>30</v>
      </c>
      <c r="C341" t="s">
        <v>16</v>
      </c>
      <c r="D341" t="s">
        <v>17</v>
      </c>
      <c r="E341">
        <v>607644</v>
      </c>
      <c r="F341">
        <v>7.16</v>
      </c>
      <c r="G341">
        <v>240</v>
      </c>
      <c r="H341">
        <v>192145</v>
      </c>
      <c r="I341">
        <v>698</v>
      </c>
      <c r="J341" t="s">
        <v>26</v>
      </c>
      <c r="K341">
        <v>7.5</v>
      </c>
      <c r="L341">
        <v>9</v>
      </c>
      <c r="M341" t="s">
        <v>23</v>
      </c>
      <c r="N341">
        <v>45437</v>
      </c>
    </row>
    <row r="342" spans="1:14" x14ac:dyDescent="0.35">
      <c r="A342" t="s">
        <v>382</v>
      </c>
      <c r="B342" t="s">
        <v>15</v>
      </c>
      <c r="C342" t="s">
        <v>34</v>
      </c>
      <c r="D342" t="s">
        <v>17</v>
      </c>
      <c r="E342">
        <v>283355</v>
      </c>
      <c r="F342">
        <v>7.41</v>
      </c>
      <c r="G342">
        <v>120</v>
      </c>
      <c r="H342">
        <v>140651</v>
      </c>
      <c r="I342">
        <v>593</v>
      </c>
      <c r="J342" t="s">
        <v>35</v>
      </c>
      <c r="K342">
        <v>9.6</v>
      </c>
      <c r="L342">
        <v>40.4</v>
      </c>
      <c r="M342" t="s">
        <v>23</v>
      </c>
      <c r="N342">
        <v>45619</v>
      </c>
    </row>
    <row r="343" spans="1:14" x14ac:dyDescent="0.35">
      <c r="A343" t="s">
        <v>383</v>
      </c>
      <c r="B343" t="s">
        <v>15</v>
      </c>
      <c r="C343" t="s">
        <v>22</v>
      </c>
      <c r="D343" t="s">
        <v>17</v>
      </c>
      <c r="E343">
        <v>372570</v>
      </c>
      <c r="F343">
        <v>3.98</v>
      </c>
      <c r="G343">
        <v>12</v>
      </c>
      <c r="H343">
        <v>125624</v>
      </c>
      <c r="I343">
        <v>593</v>
      </c>
      <c r="J343" t="s">
        <v>39</v>
      </c>
      <c r="K343">
        <v>21.4</v>
      </c>
      <c r="L343">
        <v>29.5</v>
      </c>
      <c r="M343" t="s">
        <v>23</v>
      </c>
      <c r="N343">
        <v>45480</v>
      </c>
    </row>
    <row r="344" spans="1:14" x14ac:dyDescent="0.35">
      <c r="A344" t="s">
        <v>384</v>
      </c>
      <c r="B344" t="s">
        <v>30</v>
      </c>
      <c r="C344" t="s">
        <v>16</v>
      </c>
      <c r="D344" t="s">
        <v>38</v>
      </c>
      <c r="E344">
        <v>272986</v>
      </c>
      <c r="F344">
        <v>7.38</v>
      </c>
      <c r="G344">
        <v>48</v>
      </c>
      <c r="H344">
        <v>185371</v>
      </c>
      <c r="I344">
        <v>845</v>
      </c>
      <c r="J344" t="s">
        <v>18</v>
      </c>
      <c r="K344">
        <v>18.7</v>
      </c>
      <c r="L344">
        <v>19.100000000000001</v>
      </c>
      <c r="M344" t="s">
        <v>23</v>
      </c>
      <c r="N344">
        <v>45020</v>
      </c>
    </row>
    <row r="345" spans="1:14" x14ac:dyDescent="0.35">
      <c r="A345" t="s">
        <v>385</v>
      </c>
      <c r="B345" t="s">
        <v>15</v>
      </c>
      <c r="C345" t="s">
        <v>16</v>
      </c>
      <c r="D345" t="s">
        <v>38</v>
      </c>
      <c r="E345">
        <v>461331</v>
      </c>
      <c r="F345">
        <v>8.4499999999999993</v>
      </c>
      <c r="G345">
        <v>24</v>
      </c>
      <c r="H345">
        <v>217933</v>
      </c>
      <c r="I345">
        <v>719</v>
      </c>
      <c r="J345" t="s">
        <v>26</v>
      </c>
      <c r="K345">
        <v>6.8</v>
      </c>
      <c r="L345">
        <v>10.5</v>
      </c>
      <c r="M345" t="s">
        <v>23</v>
      </c>
      <c r="N345">
        <v>44516</v>
      </c>
    </row>
    <row r="346" spans="1:14" x14ac:dyDescent="0.35">
      <c r="A346" t="s">
        <v>386</v>
      </c>
      <c r="B346" t="s">
        <v>15</v>
      </c>
      <c r="C346" t="s">
        <v>22</v>
      </c>
      <c r="D346" t="s">
        <v>38</v>
      </c>
      <c r="E346">
        <v>392881</v>
      </c>
      <c r="F346">
        <v>11.37</v>
      </c>
      <c r="G346">
        <v>60</v>
      </c>
      <c r="H346">
        <v>58063</v>
      </c>
      <c r="I346">
        <v>698</v>
      </c>
      <c r="J346" t="s">
        <v>18</v>
      </c>
      <c r="K346">
        <v>2.9</v>
      </c>
      <c r="L346">
        <v>14.5</v>
      </c>
      <c r="M346" t="s">
        <v>19</v>
      </c>
      <c r="N346">
        <v>44392</v>
      </c>
    </row>
    <row r="347" spans="1:14" x14ac:dyDescent="0.35">
      <c r="A347" t="s">
        <v>387</v>
      </c>
      <c r="B347" t="s">
        <v>28</v>
      </c>
      <c r="C347" t="s">
        <v>34</v>
      </c>
      <c r="D347" t="s">
        <v>32</v>
      </c>
      <c r="E347">
        <v>313112</v>
      </c>
      <c r="F347">
        <v>10.62</v>
      </c>
      <c r="G347">
        <v>300</v>
      </c>
      <c r="H347">
        <v>97453</v>
      </c>
      <c r="I347">
        <v>817</v>
      </c>
      <c r="J347" t="s">
        <v>35</v>
      </c>
      <c r="K347">
        <v>6.3</v>
      </c>
      <c r="L347">
        <v>43.8</v>
      </c>
      <c r="M347" t="s">
        <v>23</v>
      </c>
      <c r="N347">
        <v>44614</v>
      </c>
    </row>
    <row r="348" spans="1:14" x14ac:dyDescent="0.35">
      <c r="A348" t="s">
        <v>388</v>
      </c>
      <c r="B348" t="s">
        <v>28</v>
      </c>
      <c r="C348" t="s">
        <v>16</v>
      </c>
      <c r="D348" t="s">
        <v>32</v>
      </c>
      <c r="E348">
        <v>158077</v>
      </c>
      <c r="F348">
        <v>11.21</v>
      </c>
      <c r="G348">
        <v>300</v>
      </c>
      <c r="H348">
        <v>130166</v>
      </c>
      <c r="I348">
        <v>613</v>
      </c>
      <c r="J348" t="s">
        <v>35</v>
      </c>
      <c r="K348">
        <v>23</v>
      </c>
      <c r="L348">
        <v>35.4</v>
      </c>
      <c r="M348" t="s">
        <v>19</v>
      </c>
      <c r="N348">
        <v>44803</v>
      </c>
    </row>
    <row r="349" spans="1:14" x14ac:dyDescent="0.35">
      <c r="A349" t="s">
        <v>389</v>
      </c>
      <c r="B349" t="s">
        <v>30</v>
      </c>
      <c r="C349" t="s">
        <v>16</v>
      </c>
      <c r="D349" t="s">
        <v>17</v>
      </c>
      <c r="E349">
        <v>59575</v>
      </c>
      <c r="F349">
        <v>3.29</v>
      </c>
      <c r="G349">
        <v>240</v>
      </c>
      <c r="H349">
        <v>42506</v>
      </c>
      <c r="I349">
        <v>748</v>
      </c>
      <c r="J349" t="s">
        <v>18</v>
      </c>
      <c r="K349">
        <v>14.5</v>
      </c>
      <c r="L349">
        <v>18</v>
      </c>
      <c r="M349" t="s">
        <v>23</v>
      </c>
      <c r="N349">
        <v>44764</v>
      </c>
    </row>
    <row r="350" spans="1:14" x14ac:dyDescent="0.35">
      <c r="A350" t="s">
        <v>390</v>
      </c>
      <c r="B350" t="s">
        <v>15</v>
      </c>
      <c r="C350" t="s">
        <v>34</v>
      </c>
      <c r="D350" t="s">
        <v>17</v>
      </c>
      <c r="E350">
        <v>478958</v>
      </c>
      <c r="F350">
        <v>5.66</v>
      </c>
      <c r="G350">
        <v>12</v>
      </c>
      <c r="H350">
        <v>141604</v>
      </c>
      <c r="I350">
        <v>589</v>
      </c>
      <c r="J350" t="s">
        <v>18</v>
      </c>
      <c r="K350">
        <v>13.3</v>
      </c>
      <c r="L350">
        <v>10.6</v>
      </c>
      <c r="M350" t="s">
        <v>23</v>
      </c>
      <c r="N350">
        <v>44740</v>
      </c>
    </row>
    <row r="351" spans="1:14" x14ac:dyDescent="0.35">
      <c r="A351" t="s">
        <v>391</v>
      </c>
      <c r="B351" t="s">
        <v>28</v>
      </c>
      <c r="C351" t="s">
        <v>34</v>
      </c>
      <c r="D351" t="s">
        <v>32</v>
      </c>
      <c r="E351">
        <v>679331</v>
      </c>
      <c r="F351">
        <v>10.68</v>
      </c>
      <c r="G351">
        <v>24</v>
      </c>
      <c r="H351">
        <v>54026</v>
      </c>
      <c r="I351">
        <v>701</v>
      </c>
      <c r="J351" t="s">
        <v>18</v>
      </c>
      <c r="K351">
        <v>14.9</v>
      </c>
      <c r="L351">
        <v>35.6</v>
      </c>
      <c r="M351" t="s">
        <v>23</v>
      </c>
      <c r="N351">
        <v>44427</v>
      </c>
    </row>
    <row r="352" spans="1:14" x14ac:dyDescent="0.35">
      <c r="A352" t="s">
        <v>392</v>
      </c>
      <c r="B352" t="s">
        <v>15</v>
      </c>
      <c r="C352" t="s">
        <v>16</v>
      </c>
      <c r="D352" t="s">
        <v>17</v>
      </c>
      <c r="E352">
        <v>423815</v>
      </c>
      <c r="F352">
        <v>8.67</v>
      </c>
      <c r="G352">
        <v>120</v>
      </c>
      <c r="H352">
        <v>186744</v>
      </c>
      <c r="I352">
        <v>724</v>
      </c>
      <c r="J352" t="s">
        <v>18</v>
      </c>
      <c r="K352">
        <v>9.1999999999999993</v>
      </c>
      <c r="L352">
        <v>30.9</v>
      </c>
      <c r="M352" t="s">
        <v>48</v>
      </c>
      <c r="N352">
        <v>45080</v>
      </c>
    </row>
    <row r="353" spans="1:14" x14ac:dyDescent="0.35">
      <c r="A353" t="s">
        <v>393</v>
      </c>
      <c r="B353" t="s">
        <v>37</v>
      </c>
      <c r="C353" t="s">
        <v>34</v>
      </c>
      <c r="D353" t="s">
        <v>17</v>
      </c>
      <c r="E353">
        <v>485808</v>
      </c>
      <c r="F353">
        <v>3.26</v>
      </c>
      <c r="G353">
        <v>24</v>
      </c>
      <c r="H353">
        <v>197489</v>
      </c>
      <c r="I353">
        <v>802</v>
      </c>
      <c r="J353" t="s">
        <v>26</v>
      </c>
      <c r="K353">
        <v>20.2</v>
      </c>
      <c r="L353">
        <v>24.2</v>
      </c>
      <c r="M353" t="s">
        <v>23</v>
      </c>
      <c r="N353">
        <v>44717</v>
      </c>
    </row>
    <row r="354" spans="1:14" x14ac:dyDescent="0.35">
      <c r="A354" t="s">
        <v>394</v>
      </c>
      <c r="B354" t="s">
        <v>28</v>
      </c>
      <c r="C354" t="s">
        <v>16</v>
      </c>
      <c r="D354" t="s">
        <v>45</v>
      </c>
      <c r="E354">
        <v>596202</v>
      </c>
      <c r="F354">
        <v>12.29</v>
      </c>
      <c r="G354">
        <v>12</v>
      </c>
      <c r="H354">
        <v>80413</v>
      </c>
      <c r="I354">
        <v>836</v>
      </c>
      <c r="J354" t="s">
        <v>18</v>
      </c>
      <c r="K354">
        <v>13.1</v>
      </c>
      <c r="L354">
        <v>22.5</v>
      </c>
      <c r="M354" t="s">
        <v>19</v>
      </c>
      <c r="N354">
        <v>44899</v>
      </c>
    </row>
    <row r="355" spans="1:14" x14ac:dyDescent="0.35">
      <c r="A355" t="s">
        <v>395</v>
      </c>
      <c r="B355" t="s">
        <v>30</v>
      </c>
      <c r="C355" t="s">
        <v>16</v>
      </c>
      <c r="D355" t="s">
        <v>38</v>
      </c>
      <c r="E355">
        <v>596343</v>
      </c>
      <c r="F355">
        <v>11.93</v>
      </c>
      <c r="G355">
        <v>120</v>
      </c>
      <c r="H355">
        <v>93066</v>
      </c>
      <c r="I355">
        <v>847</v>
      </c>
      <c r="J355" t="s">
        <v>18</v>
      </c>
      <c r="K355">
        <v>2.9</v>
      </c>
      <c r="L355">
        <v>16.7</v>
      </c>
      <c r="M355" t="s">
        <v>23</v>
      </c>
      <c r="N355">
        <v>45420</v>
      </c>
    </row>
    <row r="356" spans="1:14" x14ac:dyDescent="0.35">
      <c r="A356" t="s">
        <v>396</v>
      </c>
      <c r="B356" t="s">
        <v>30</v>
      </c>
      <c r="C356" t="s">
        <v>16</v>
      </c>
      <c r="D356" t="s">
        <v>52</v>
      </c>
      <c r="E356">
        <v>616985</v>
      </c>
      <c r="F356">
        <v>9.4</v>
      </c>
      <c r="G356">
        <v>24</v>
      </c>
      <c r="H356">
        <v>218285</v>
      </c>
      <c r="I356">
        <v>583</v>
      </c>
      <c r="J356" t="s">
        <v>18</v>
      </c>
      <c r="K356">
        <v>3.2</v>
      </c>
      <c r="L356">
        <v>34.799999999999997</v>
      </c>
      <c r="M356" t="s">
        <v>23</v>
      </c>
      <c r="N356">
        <v>45042</v>
      </c>
    </row>
    <row r="357" spans="1:14" x14ac:dyDescent="0.35">
      <c r="A357" t="s">
        <v>397</v>
      </c>
      <c r="B357" t="s">
        <v>28</v>
      </c>
      <c r="C357" t="s">
        <v>16</v>
      </c>
      <c r="D357" t="s">
        <v>73</v>
      </c>
      <c r="E357">
        <v>635527</v>
      </c>
      <c r="F357">
        <v>3.95</v>
      </c>
      <c r="G357">
        <v>120</v>
      </c>
      <c r="H357">
        <v>78971</v>
      </c>
      <c r="I357">
        <v>685</v>
      </c>
      <c r="J357" t="s">
        <v>35</v>
      </c>
      <c r="K357">
        <v>13.4</v>
      </c>
      <c r="L357">
        <v>46.8</v>
      </c>
      <c r="M357" t="s">
        <v>23</v>
      </c>
      <c r="N357">
        <v>44869</v>
      </c>
    </row>
    <row r="358" spans="1:14" x14ac:dyDescent="0.35">
      <c r="A358" t="s">
        <v>398</v>
      </c>
      <c r="B358" t="s">
        <v>30</v>
      </c>
      <c r="C358" t="s">
        <v>22</v>
      </c>
      <c r="D358" t="s">
        <v>45</v>
      </c>
      <c r="E358">
        <v>240469</v>
      </c>
      <c r="F358">
        <v>11.86</v>
      </c>
      <c r="G358">
        <v>240</v>
      </c>
      <c r="H358">
        <v>186353</v>
      </c>
      <c r="I358">
        <v>664</v>
      </c>
      <c r="J358" t="s">
        <v>26</v>
      </c>
      <c r="K358">
        <v>23.4</v>
      </c>
      <c r="L358">
        <v>15</v>
      </c>
      <c r="M358" t="s">
        <v>23</v>
      </c>
      <c r="N358">
        <v>44217</v>
      </c>
    </row>
    <row r="359" spans="1:14" x14ac:dyDescent="0.35">
      <c r="A359" t="s">
        <v>399</v>
      </c>
      <c r="B359" t="s">
        <v>15</v>
      </c>
      <c r="C359" t="s">
        <v>34</v>
      </c>
      <c r="D359" t="s">
        <v>32</v>
      </c>
      <c r="E359">
        <v>128106</v>
      </c>
      <c r="F359">
        <v>9.8000000000000007</v>
      </c>
      <c r="G359">
        <v>240</v>
      </c>
      <c r="H359">
        <v>141978</v>
      </c>
      <c r="I359">
        <v>793</v>
      </c>
      <c r="J359" t="s">
        <v>18</v>
      </c>
      <c r="K359">
        <v>7.7</v>
      </c>
      <c r="L359">
        <v>31.9</v>
      </c>
      <c r="M359" t="s">
        <v>23</v>
      </c>
      <c r="N359">
        <v>45531</v>
      </c>
    </row>
    <row r="360" spans="1:14" x14ac:dyDescent="0.35">
      <c r="A360" t="s">
        <v>400</v>
      </c>
      <c r="B360" t="s">
        <v>71</v>
      </c>
      <c r="C360" t="s">
        <v>34</v>
      </c>
      <c r="D360" t="s">
        <v>45</v>
      </c>
      <c r="E360">
        <v>472835</v>
      </c>
      <c r="F360">
        <v>12.04</v>
      </c>
      <c r="G360">
        <v>12</v>
      </c>
      <c r="H360">
        <v>187163</v>
      </c>
      <c r="I360">
        <v>700</v>
      </c>
      <c r="J360" t="s">
        <v>18</v>
      </c>
      <c r="K360">
        <v>21.7</v>
      </c>
      <c r="L360">
        <v>25</v>
      </c>
      <c r="M360" t="s">
        <v>23</v>
      </c>
      <c r="N360">
        <v>44784</v>
      </c>
    </row>
    <row r="361" spans="1:14" x14ac:dyDescent="0.35">
      <c r="A361" t="s">
        <v>401</v>
      </c>
      <c r="B361" t="s">
        <v>15</v>
      </c>
      <c r="C361" t="s">
        <v>22</v>
      </c>
      <c r="D361" t="s">
        <v>38</v>
      </c>
      <c r="E361">
        <v>305486</v>
      </c>
      <c r="F361">
        <v>11.69</v>
      </c>
      <c r="G361">
        <v>12</v>
      </c>
      <c r="H361">
        <v>78494</v>
      </c>
      <c r="I361">
        <v>711</v>
      </c>
      <c r="J361" t="s">
        <v>35</v>
      </c>
      <c r="K361">
        <v>19.100000000000001</v>
      </c>
      <c r="L361">
        <v>25.9</v>
      </c>
      <c r="M361" t="s">
        <v>19</v>
      </c>
      <c r="N361">
        <v>45094</v>
      </c>
    </row>
    <row r="362" spans="1:14" x14ac:dyDescent="0.35">
      <c r="A362" t="s">
        <v>402</v>
      </c>
      <c r="B362" t="s">
        <v>15</v>
      </c>
      <c r="C362" t="s">
        <v>34</v>
      </c>
      <c r="D362" t="s">
        <v>17</v>
      </c>
      <c r="E362">
        <v>7257</v>
      </c>
      <c r="F362">
        <v>12.27</v>
      </c>
      <c r="G362">
        <v>120</v>
      </c>
      <c r="H362">
        <v>131864</v>
      </c>
      <c r="I362">
        <v>776</v>
      </c>
      <c r="J362" t="s">
        <v>26</v>
      </c>
      <c r="K362">
        <v>6.2</v>
      </c>
      <c r="L362">
        <v>18.2</v>
      </c>
      <c r="M362" t="s">
        <v>23</v>
      </c>
      <c r="N362">
        <v>45654</v>
      </c>
    </row>
    <row r="363" spans="1:14" x14ac:dyDescent="0.35">
      <c r="A363" t="s">
        <v>403</v>
      </c>
      <c r="B363" t="s">
        <v>28</v>
      </c>
      <c r="C363" t="s">
        <v>22</v>
      </c>
      <c r="D363" t="s">
        <v>32</v>
      </c>
      <c r="E363">
        <v>294508</v>
      </c>
      <c r="F363">
        <v>9.0500000000000007</v>
      </c>
      <c r="G363">
        <v>36</v>
      </c>
      <c r="H363">
        <v>177682</v>
      </c>
      <c r="I363">
        <v>598</v>
      </c>
      <c r="J363" t="s">
        <v>18</v>
      </c>
      <c r="K363">
        <v>0.9</v>
      </c>
      <c r="L363">
        <v>41</v>
      </c>
      <c r="M363" t="s">
        <v>19</v>
      </c>
      <c r="N363">
        <v>44567</v>
      </c>
    </row>
    <row r="364" spans="1:14" x14ac:dyDescent="0.35">
      <c r="A364" t="s">
        <v>404</v>
      </c>
      <c r="B364" t="s">
        <v>15</v>
      </c>
      <c r="C364" t="s">
        <v>22</v>
      </c>
      <c r="D364" t="s">
        <v>43</v>
      </c>
      <c r="E364">
        <v>685332</v>
      </c>
      <c r="F364">
        <v>4.79</v>
      </c>
      <c r="G364">
        <v>48</v>
      </c>
      <c r="H364">
        <v>160151</v>
      </c>
      <c r="I364">
        <v>709</v>
      </c>
      <c r="J364" t="s">
        <v>18</v>
      </c>
      <c r="K364">
        <v>2.5</v>
      </c>
      <c r="L364">
        <v>27.4</v>
      </c>
      <c r="M364" t="s">
        <v>23</v>
      </c>
      <c r="N364">
        <v>44274</v>
      </c>
    </row>
    <row r="365" spans="1:14" x14ac:dyDescent="0.35">
      <c r="A365" t="s">
        <v>405</v>
      </c>
      <c r="B365" t="s">
        <v>15</v>
      </c>
      <c r="C365" t="s">
        <v>16</v>
      </c>
      <c r="D365" t="s">
        <v>32</v>
      </c>
      <c r="E365">
        <v>116715</v>
      </c>
      <c r="F365">
        <v>10.78</v>
      </c>
      <c r="G365">
        <v>300</v>
      </c>
      <c r="H365">
        <v>123386</v>
      </c>
      <c r="I365">
        <v>591</v>
      </c>
      <c r="J365" t="s">
        <v>18</v>
      </c>
      <c r="K365">
        <v>18.2</v>
      </c>
      <c r="L365">
        <v>29.7</v>
      </c>
      <c r="M365" t="s">
        <v>23</v>
      </c>
      <c r="N365">
        <v>45505</v>
      </c>
    </row>
    <row r="366" spans="1:14" x14ac:dyDescent="0.35">
      <c r="A366" t="s">
        <v>406</v>
      </c>
      <c r="B366" t="s">
        <v>71</v>
      </c>
      <c r="C366" t="s">
        <v>22</v>
      </c>
      <c r="D366" t="s">
        <v>45</v>
      </c>
      <c r="E366">
        <v>31654</v>
      </c>
      <c r="F366">
        <v>10.210000000000001</v>
      </c>
      <c r="G366">
        <v>24</v>
      </c>
      <c r="H366">
        <v>205823</v>
      </c>
      <c r="I366">
        <v>660</v>
      </c>
      <c r="J366" t="s">
        <v>18</v>
      </c>
      <c r="K366">
        <v>5</v>
      </c>
      <c r="L366">
        <v>20.2</v>
      </c>
      <c r="M366" t="s">
        <v>19</v>
      </c>
      <c r="N366">
        <v>44844</v>
      </c>
    </row>
    <row r="367" spans="1:14" x14ac:dyDescent="0.35">
      <c r="A367" t="s">
        <v>407</v>
      </c>
      <c r="B367" t="s">
        <v>15</v>
      </c>
      <c r="C367" t="s">
        <v>34</v>
      </c>
      <c r="D367" t="s">
        <v>45</v>
      </c>
      <c r="E367">
        <v>741129</v>
      </c>
      <c r="F367">
        <v>11.59</v>
      </c>
      <c r="G367">
        <v>24</v>
      </c>
      <c r="H367">
        <v>114126</v>
      </c>
      <c r="I367">
        <v>841</v>
      </c>
      <c r="J367" t="s">
        <v>18</v>
      </c>
      <c r="K367">
        <v>9.3000000000000007</v>
      </c>
      <c r="L367">
        <v>15.3</v>
      </c>
      <c r="M367" t="s">
        <v>23</v>
      </c>
      <c r="N367">
        <v>44336</v>
      </c>
    </row>
    <row r="368" spans="1:14" x14ac:dyDescent="0.35">
      <c r="A368" t="s">
        <v>408</v>
      </c>
      <c r="B368" t="s">
        <v>21</v>
      </c>
      <c r="C368" t="s">
        <v>34</v>
      </c>
      <c r="D368" t="s">
        <v>17</v>
      </c>
      <c r="E368">
        <v>348567</v>
      </c>
      <c r="F368">
        <v>5.12</v>
      </c>
      <c r="G368">
        <v>36</v>
      </c>
      <c r="H368">
        <v>214504</v>
      </c>
      <c r="I368">
        <v>704</v>
      </c>
      <c r="J368" t="s">
        <v>39</v>
      </c>
      <c r="K368">
        <v>12.5</v>
      </c>
      <c r="L368">
        <v>11.4</v>
      </c>
      <c r="M368" t="s">
        <v>23</v>
      </c>
      <c r="N368">
        <v>44749</v>
      </c>
    </row>
    <row r="369" spans="1:14" x14ac:dyDescent="0.35">
      <c r="A369" t="s">
        <v>409</v>
      </c>
      <c r="B369" t="s">
        <v>83</v>
      </c>
      <c r="C369" t="s">
        <v>16</v>
      </c>
      <c r="D369" t="s">
        <v>17</v>
      </c>
      <c r="E369">
        <v>296464</v>
      </c>
      <c r="F369">
        <v>5.4</v>
      </c>
      <c r="G369">
        <v>36</v>
      </c>
      <c r="H369">
        <v>190023</v>
      </c>
      <c r="I369">
        <v>846</v>
      </c>
      <c r="J369" t="s">
        <v>18</v>
      </c>
      <c r="K369">
        <v>18.100000000000001</v>
      </c>
      <c r="L369">
        <v>36.6</v>
      </c>
      <c r="M369" t="s">
        <v>19</v>
      </c>
      <c r="N369">
        <v>45194</v>
      </c>
    </row>
    <row r="370" spans="1:14" x14ac:dyDescent="0.35">
      <c r="A370" t="s">
        <v>410</v>
      </c>
      <c r="B370" t="s">
        <v>30</v>
      </c>
      <c r="C370" t="s">
        <v>22</v>
      </c>
      <c r="D370" t="s">
        <v>17</v>
      </c>
      <c r="E370">
        <v>550096</v>
      </c>
      <c r="F370">
        <v>13.26</v>
      </c>
      <c r="G370">
        <v>36</v>
      </c>
      <c r="H370">
        <v>108863</v>
      </c>
      <c r="I370">
        <v>719</v>
      </c>
      <c r="J370" t="s">
        <v>39</v>
      </c>
      <c r="K370">
        <v>2.8</v>
      </c>
      <c r="L370">
        <v>15.8</v>
      </c>
      <c r="M370" t="s">
        <v>55</v>
      </c>
      <c r="N370">
        <v>44478</v>
      </c>
    </row>
    <row r="371" spans="1:14" x14ac:dyDescent="0.35">
      <c r="A371" t="s">
        <v>411</v>
      </c>
      <c r="B371" t="s">
        <v>30</v>
      </c>
      <c r="C371" t="s">
        <v>22</v>
      </c>
      <c r="D371" t="s">
        <v>17</v>
      </c>
      <c r="E371">
        <v>581677</v>
      </c>
      <c r="F371">
        <v>11.67</v>
      </c>
      <c r="G371">
        <v>60</v>
      </c>
      <c r="H371">
        <v>106291</v>
      </c>
      <c r="I371">
        <v>581</v>
      </c>
      <c r="J371" t="s">
        <v>18</v>
      </c>
      <c r="K371">
        <v>10.199999999999999</v>
      </c>
      <c r="L371">
        <v>35.6</v>
      </c>
      <c r="M371" t="s">
        <v>23</v>
      </c>
      <c r="N371">
        <v>45478</v>
      </c>
    </row>
    <row r="372" spans="1:14" x14ac:dyDescent="0.35">
      <c r="A372" t="s">
        <v>412</v>
      </c>
      <c r="B372" t="s">
        <v>30</v>
      </c>
      <c r="C372" t="s">
        <v>16</v>
      </c>
      <c r="D372" t="s">
        <v>17</v>
      </c>
      <c r="E372">
        <v>493906</v>
      </c>
      <c r="F372">
        <v>13.46</v>
      </c>
      <c r="G372">
        <v>60</v>
      </c>
      <c r="H372">
        <v>153659</v>
      </c>
      <c r="I372">
        <v>587</v>
      </c>
      <c r="J372" t="s">
        <v>26</v>
      </c>
      <c r="K372">
        <v>12.1</v>
      </c>
      <c r="L372">
        <v>23.6</v>
      </c>
      <c r="M372" t="s">
        <v>23</v>
      </c>
      <c r="N372">
        <v>45580</v>
      </c>
    </row>
    <row r="373" spans="1:14" x14ac:dyDescent="0.35">
      <c r="A373" t="s">
        <v>413</v>
      </c>
      <c r="B373" t="s">
        <v>30</v>
      </c>
      <c r="C373" t="s">
        <v>34</v>
      </c>
      <c r="D373" t="s">
        <v>43</v>
      </c>
      <c r="E373">
        <v>123581</v>
      </c>
      <c r="F373">
        <v>11.77</v>
      </c>
      <c r="G373">
        <v>120</v>
      </c>
      <c r="H373">
        <v>218944</v>
      </c>
      <c r="I373">
        <v>829</v>
      </c>
      <c r="J373" t="s">
        <v>26</v>
      </c>
      <c r="K373">
        <v>13.5</v>
      </c>
      <c r="L373">
        <v>24.6</v>
      </c>
      <c r="M373" t="s">
        <v>55</v>
      </c>
      <c r="N373">
        <v>44636</v>
      </c>
    </row>
    <row r="374" spans="1:14" x14ac:dyDescent="0.35">
      <c r="A374" t="s">
        <v>414</v>
      </c>
      <c r="B374" t="s">
        <v>30</v>
      </c>
      <c r="C374" t="s">
        <v>16</v>
      </c>
      <c r="D374" t="s">
        <v>17</v>
      </c>
      <c r="E374">
        <v>132927</v>
      </c>
      <c r="F374">
        <v>9.9499999999999993</v>
      </c>
      <c r="G374">
        <v>60</v>
      </c>
      <c r="H374">
        <v>35235</v>
      </c>
      <c r="I374">
        <v>718</v>
      </c>
      <c r="J374" t="s">
        <v>18</v>
      </c>
      <c r="K374">
        <v>20.5</v>
      </c>
      <c r="L374">
        <v>26.8</v>
      </c>
      <c r="M374" t="s">
        <v>23</v>
      </c>
      <c r="N374">
        <v>44466</v>
      </c>
    </row>
    <row r="375" spans="1:14" x14ac:dyDescent="0.35">
      <c r="A375" t="s">
        <v>415</v>
      </c>
      <c r="B375" t="s">
        <v>28</v>
      </c>
      <c r="C375" t="s">
        <v>22</v>
      </c>
      <c r="D375" t="s">
        <v>32</v>
      </c>
      <c r="E375">
        <v>39773</v>
      </c>
      <c r="F375">
        <v>10.59</v>
      </c>
      <c r="G375">
        <v>240</v>
      </c>
      <c r="H375">
        <v>110733</v>
      </c>
      <c r="I375">
        <v>703</v>
      </c>
      <c r="J375" t="s">
        <v>18</v>
      </c>
      <c r="K375">
        <v>4.3</v>
      </c>
      <c r="L375">
        <v>22.7</v>
      </c>
      <c r="M375" t="s">
        <v>19</v>
      </c>
      <c r="N375">
        <v>45354</v>
      </c>
    </row>
    <row r="376" spans="1:14" x14ac:dyDescent="0.35">
      <c r="A376" t="s">
        <v>416</v>
      </c>
      <c r="B376" t="s">
        <v>30</v>
      </c>
      <c r="C376" t="s">
        <v>16</v>
      </c>
      <c r="D376" t="s">
        <v>17</v>
      </c>
      <c r="E376">
        <v>711528</v>
      </c>
      <c r="F376">
        <v>13.25</v>
      </c>
      <c r="G376">
        <v>240</v>
      </c>
      <c r="H376">
        <v>90712</v>
      </c>
      <c r="I376">
        <v>807</v>
      </c>
      <c r="J376" t="s">
        <v>26</v>
      </c>
      <c r="K376">
        <v>20.2</v>
      </c>
      <c r="L376">
        <v>12</v>
      </c>
      <c r="M376" t="s">
        <v>23</v>
      </c>
      <c r="N376">
        <v>44942</v>
      </c>
    </row>
    <row r="377" spans="1:14" x14ac:dyDescent="0.35">
      <c r="A377" t="s">
        <v>417</v>
      </c>
      <c r="B377" t="s">
        <v>30</v>
      </c>
      <c r="C377" t="s">
        <v>16</v>
      </c>
      <c r="D377" t="s">
        <v>73</v>
      </c>
      <c r="E377">
        <v>425963</v>
      </c>
      <c r="F377">
        <v>9.74</v>
      </c>
      <c r="G377">
        <v>12</v>
      </c>
      <c r="H377">
        <v>180545</v>
      </c>
      <c r="I377">
        <v>589</v>
      </c>
      <c r="J377" t="s">
        <v>18</v>
      </c>
      <c r="K377">
        <v>17.3</v>
      </c>
      <c r="L377">
        <v>20.399999999999999</v>
      </c>
      <c r="M377" t="s">
        <v>23</v>
      </c>
      <c r="N377">
        <v>44300</v>
      </c>
    </row>
    <row r="378" spans="1:14" x14ac:dyDescent="0.35">
      <c r="A378" t="s">
        <v>418</v>
      </c>
      <c r="B378" t="s">
        <v>25</v>
      </c>
      <c r="C378" t="s">
        <v>16</v>
      </c>
      <c r="D378" t="s">
        <v>17</v>
      </c>
      <c r="E378">
        <v>343540</v>
      </c>
      <c r="F378">
        <v>10.35</v>
      </c>
      <c r="G378">
        <v>300</v>
      </c>
      <c r="H378">
        <v>153849</v>
      </c>
      <c r="I378">
        <v>791</v>
      </c>
      <c r="J378" t="s">
        <v>18</v>
      </c>
      <c r="K378">
        <v>13.9</v>
      </c>
      <c r="L378">
        <v>34.5</v>
      </c>
      <c r="M378" t="s">
        <v>19</v>
      </c>
      <c r="N378">
        <v>44962</v>
      </c>
    </row>
    <row r="379" spans="1:14" x14ac:dyDescent="0.35">
      <c r="A379" t="s">
        <v>419</v>
      </c>
      <c r="B379" t="s">
        <v>30</v>
      </c>
      <c r="C379" t="s">
        <v>22</v>
      </c>
      <c r="D379" t="s">
        <v>32</v>
      </c>
      <c r="E379">
        <v>506590</v>
      </c>
      <c r="F379">
        <v>4.97</v>
      </c>
      <c r="G379">
        <v>120</v>
      </c>
      <c r="H379">
        <v>107823</v>
      </c>
      <c r="I379">
        <v>691</v>
      </c>
      <c r="J379" t="s">
        <v>18</v>
      </c>
      <c r="K379">
        <v>17.5</v>
      </c>
      <c r="L379">
        <v>34.6</v>
      </c>
      <c r="M379" t="s">
        <v>19</v>
      </c>
      <c r="N379">
        <v>44291</v>
      </c>
    </row>
    <row r="380" spans="1:14" x14ac:dyDescent="0.35">
      <c r="A380" t="s">
        <v>420</v>
      </c>
      <c r="B380" t="s">
        <v>25</v>
      </c>
      <c r="C380" t="s">
        <v>16</v>
      </c>
      <c r="D380" t="s">
        <v>43</v>
      </c>
      <c r="E380">
        <v>374836</v>
      </c>
      <c r="F380">
        <v>8.56</v>
      </c>
      <c r="G380">
        <v>300</v>
      </c>
      <c r="H380">
        <v>132215</v>
      </c>
      <c r="I380">
        <v>587</v>
      </c>
      <c r="J380" t="s">
        <v>35</v>
      </c>
      <c r="K380">
        <v>10.3</v>
      </c>
      <c r="L380">
        <v>19.399999999999999</v>
      </c>
      <c r="M380" t="s">
        <v>23</v>
      </c>
      <c r="N380">
        <v>44925</v>
      </c>
    </row>
    <row r="381" spans="1:14" x14ac:dyDescent="0.35">
      <c r="A381" t="s">
        <v>421</v>
      </c>
      <c r="B381" t="s">
        <v>30</v>
      </c>
      <c r="C381" t="s">
        <v>16</v>
      </c>
      <c r="D381" t="s">
        <v>43</v>
      </c>
      <c r="E381">
        <v>219764</v>
      </c>
      <c r="F381">
        <v>11.3</v>
      </c>
      <c r="G381">
        <v>24</v>
      </c>
      <c r="H381">
        <v>60230</v>
      </c>
      <c r="I381">
        <v>832</v>
      </c>
      <c r="J381" t="s">
        <v>18</v>
      </c>
      <c r="K381">
        <v>3.5</v>
      </c>
      <c r="L381">
        <v>26.4</v>
      </c>
      <c r="M381" t="s">
        <v>23</v>
      </c>
      <c r="N381">
        <v>44676</v>
      </c>
    </row>
    <row r="382" spans="1:14" x14ac:dyDescent="0.35">
      <c r="A382" t="s">
        <v>422</v>
      </c>
      <c r="B382" t="s">
        <v>30</v>
      </c>
      <c r="C382" t="s">
        <v>34</v>
      </c>
      <c r="D382" t="s">
        <v>17</v>
      </c>
      <c r="E382">
        <v>586793</v>
      </c>
      <c r="F382">
        <v>6.26</v>
      </c>
      <c r="G382">
        <v>48</v>
      </c>
      <c r="H382">
        <v>112573</v>
      </c>
      <c r="I382">
        <v>593</v>
      </c>
      <c r="J382" t="s">
        <v>26</v>
      </c>
      <c r="K382">
        <v>16.600000000000001</v>
      </c>
      <c r="L382">
        <v>15.7</v>
      </c>
      <c r="M382" t="s">
        <v>19</v>
      </c>
      <c r="N382">
        <v>44976</v>
      </c>
    </row>
    <row r="383" spans="1:14" x14ac:dyDescent="0.35">
      <c r="A383" t="s">
        <v>423</v>
      </c>
      <c r="B383" t="s">
        <v>28</v>
      </c>
      <c r="C383" t="s">
        <v>22</v>
      </c>
      <c r="D383" t="s">
        <v>38</v>
      </c>
      <c r="E383">
        <v>547423</v>
      </c>
      <c r="F383">
        <v>5.49</v>
      </c>
      <c r="G383">
        <v>12</v>
      </c>
      <c r="H383">
        <v>68644</v>
      </c>
      <c r="I383">
        <v>819</v>
      </c>
      <c r="J383" t="s">
        <v>18</v>
      </c>
      <c r="K383">
        <v>13.1</v>
      </c>
      <c r="L383">
        <v>16.399999999999999</v>
      </c>
      <c r="M383" t="s">
        <v>19</v>
      </c>
      <c r="N383">
        <v>45461</v>
      </c>
    </row>
    <row r="384" spans="1:14" x14ac:dyDescent="0.35">
      <c r="A384" t="s">
        <v>424</v>
      </c>
      <c r="B384" t="s">
        <v>28</v>
      </c>
      <c r="C384" t="s">
        <v>16</v>
      </c>
      <c r="D384" t="s">
        <v>32</v>
      </c>
      <c r="E384">
        <v>620175</v>
      </c>
      <c r="F384">
        <v>6.75</v>
      </c>
      <c r="G384">
        <v>24</v>
      </c>
      <c r="H384">
        <v>207736</v>
      </c>
      <c r="I384">
        <v>821</v>
      </c>
      <c r="J384" t="s">
        <v>26</v>
      </c>
      <c r="K384">
        <v>16</v>
      </c>
      <c r="L384">
        <v>8.9</v>
      </c>
      <c r="M384" t="s">
        <v>23</v>
      </c>
      <c r="N384">
        <v>44209</v>
      </c>
    </row>
    <row r="385" spans="1:14" x14ac:dyDescent="0.35">
      <c r="A385" t="s">
        <v>425</v>
      </c>
      <c r="B385" t="s">
        <v>37</v>
      </c>
      <c r="C385" t="s">
        <v>34</v>
      </c>
      <c r="D385" t="s">
        <v>32</v>
      </c>
      <c r="E385">
        <v>127118</v>
      </c>
      <c r="F385">
        <v>5.93</v>
      </c>
      <c r="G385">
        <v>24</v>
      </c>
      <c r="H385">
        <v>73203</v>
      </c>
      <c r="I385">
        <v>728</v>
      </c>
      <c r="J385" t="s">
        <v>18</v>
      </c>
      <c r="K385">
        <v>8.4</v>
      </c>
      <c r="L385">
        <v>43.9</v>
      </c>
      <c r="M385" t="s">
        <v>19</v>
      </c>
      <c r="N385">
        <v>45367</v>
      </c>
    </row>
    <row r="386" spans="1:14" x14ac:dyDescent="0.35">
      <c r="A386" t="s">
        <v>426</v>
      </c>
      <c r="B386" t="s">
        <v>25</v>
      </c>
      <c r="C386" t="s">
        <v>22</v>
      </c>
      <c r="D386" t="s">
        <v>17</v>
      </c>
      <c r="E386">
        <v>314521</v>
      </c>
      <c r="F386">
        <v>5.63</v>
      </c>
      <c r="G386">
        <v>120</v>
      </c>
      <c r="H386">
        <v>94677</v>
      </c>
      <c r="I386">
        <v>815</v>
      </c>
      <c r="J386" t="s">
        <v>39</v>
      </c>
      <c r="K386">
        <v>22.7</v>
      </c>
      <c r="L386">
        <v>16.399999999999999</v>
      </c>
      <c r="M386" t="s">
        <v>19</v>
      </c>
      <c r="N386">
        <v>44797</v>
      </c>
    </row>
    <row r="387" spans="1:14" x14ac:dyDescent="0.35">
      <c r="A387" t="s">
        <v>427</v>
      </c>
      <c r="B387" t="s">
        <v>25</v>
      </c>
      <c r="C387" t="s">
        <v>34</v>
      </c>
      <c r="D387" t="s">
        <v>17</v>
      </c>
      <c r="E387">
        <v>159626</v>
      </c>
      <c r="F387">
        <v>8</v>
      </c>
      <c r="G387">
        <v>36</v>
      </c>
      <c r="H387">
        <v>184497</v>
      </c>
      <c r="I387">
        <v>746</v>
      </c>
      <c r="J387" t="s">
        <v>18</v>
      </c>
      <c r="K387">
        <v>14.7</v>
      </c>
      <c r="L387">
        <v>17.100000000000001</v>
      </c>
      <c r="M387" t="s">
        <v>19</v>
      </c>
      <c r="N387">
        <v>44291</v>
      </c>
    </row>
    <row r="388" spans="1:14" x14ac:dyDescent="0.35">
      <c r="A388" t="s">
        <v>428</v>
      </c>
      <c r="B388" t="s">
        <v>30</v>
      </c>
      <c r="C388" t="s">
        <v>16</v>
      </c>
      <c r="D388" t="s">
        <v>38</v>
      </c>
      <c r="E388">
        <v>250739</v>
      </c>
      <c r="F388">
        <v>13.46</v>
      </c>
      <c r="G388">
        <v>36</v>
      </c>
      <c r="H388">
        <v>151246</v>
      </c>
      <c r="I388">
        <v>599</v>
      </c>
      <c r="J388" t="s">
        <v>18</v>
      </c>
      <c r="K388">
        <v>2.1</v>
      </c>
      <c r="L388">
        <v>19.2</v>
      </c>
      <c r="M388" t="s">
        <v>19</v>
      </c>
      <c r="N388">
        <v>44489</v>
      </c>
    </row>
    <row r="389" spans="1:14" x14ac:dyDescent="0.35">
      <c r="A389" t="s">
        <v>429</v>
      </c>
      <c r="B389" t="s">
        <v>30</v>
      </c>
      <c r="C389" t="s">
        <v>22</v>
      </c>
      <c r="D389" t="s">
        <v>32</v>
      </c>
      <c r="E389">
        <v>483356</v>
      </c>
      <c r="F389">
        <v>8.93</v>
      </c>
      <c r="G389">
        <v>300</v>
      </c>
      <c r="H389">
        <v>112817</v>
      </c>
      <c r="I389">
        <v>795</v>
      </c>
      <c r="J389" t="s">
        <v>26</v>
      </c>
      <c r="K389">
        <v>11.2</v>
      </c>
      <c r="L389">
        <v>13.1</v>
      </c>
      <c r="M389" t="s">
        <v>23</v>
      </c>
      <c r="N389">
        <v>44221</v>
      </c>
    </row>
    <row r="390" spans="1:14" x14ac:dyDescent="0.35">
      <c r="A390" t="s">
        <v>430</v>
      </c>
      <c r="B390" t="s">
        <v>25</v>
      </c>
      <c r="C390" t="s">
        <v>22</v>
      </c>
      <c r="D390" t="s">
        <v>32</v>
      </c>
      <c r="E390">
        <v>284067</v>
      </c>
      <c r="F390">
        <v>5.32</v>
      </c>
      <c r="G390">
        <v>12</v>
      </c>
      <c r="H390">
        <v>97806</v>
      </c>
      <c r="I390">
        <v>714</v>
      </c>
      <c r="J390" t="s">
        <v>18</v>
      </c>
      <c r="K390">
        <v>18.899999999999999</v>
      </c>
      <c r="L390">
        <v>33.6</v>
      </c>
      <c r="M390" t="s">
        <v>19</v>
      </c>
      <c r="N390">
        <v>45492</v>
      </c>
    </row>
    <row r="391" spans="1:14" x14ac:dyDescent="0.35">
      <c r="A391" t="s">
        <v>431</v>
      </c>
      <c r="B391" t="s">
        <v>25</v>
      </c>
      <c r="C391" t="s">
        <v>16</v>
      </c>
      <c r="D391" t="s">
        <v>38</v>
      </c>
      <c r="E391">
        <v>314735</v>
      </c>
      <c r="F391">
        <v>4.07</v>
      </c>
      <c r="G391">
        <v>36</v>
      </c>
      <c r="H391">
        <v>70814</v>
      </c>
      <c r="I391">
        <v>708</v>
      </c>
      <c r="J391" t="s">
        <v>18</v>
      </c>
      <c r="K391">
        <v>19.899999999999999</v>
      </c>
      <c r="L391">
        <v>11</v>
      </c>
      <c r="M391" t="s">
        <v>19</v>
      </c>
      <c r="N391">
        <v>45386</v>
      </c>
    </row>
    <row r="392" spans="1:14" x14ac:dyDescent="0.35">
      <c r="A392" t="s">
        <v>432</v>
      </c>
      <c r="B392" t="s">
        <v>303</v>
      </c>
      <c r="C392" t="s">
        <v>22</v>
      </c>
      <c r="D392" t="s">
        <v>38</v>
      </c>
      <c r="E392">
        <v>591549</v>
      </c>
      <c r="F392">
        <v>11.07</v>
      </c>
      <c r="G392">
        <v>24</v>
      </c>
      <c r="H392">
        <v>98219</v>
      </c>
      <c r="I392">
        <v>825</v>
      </c>
      <c r="J392" t="s">
        <v>18</v>
      </c>
      <c r="K392">
        <v>12.4</v>
      </c>
      <c r="L392">
        <v>13.4</v>
      </c>
      <c r="M392" t="s">
        <v>23</v>
      </c>
      <c r="N392">
        <v>45135</v>
      </c>
    </row>
    <row r="393" spans="1:14" x14ac:dyDescent="0.35">
      <c r="A393" t="s">
        <v>433</v>
      </c>
      <c r="B393" t="s">
        <v>15</v>
      </c>
      <c r="C393" t="s">
        <v>16</v>
      </c>
      <c r="D393" t="s">
        <v>17</v>
      </c>
      <c r="E393">
        <v>321480</v>
      </c>
      <c r="F393">
        <v>7.53</v>
      </c>
      <c r="G393">
        <v>36</v>
      </c>
      <c r="H393">
        <v>208718</v>
      </c>
      <c r="I393">
        <v>768</v>
      </c>
      <c r="J393" t="s">
        <v>18</v>
      </c>
      <c r="K393">
        <v>22.4</v>
      </c>
      <c r="L393">
        <v>33.799999999999997</v>
      </c>
      <c r="M393" t="s">
        <v>23</v>
      </c>
      <c r="N393">
        <v>44958</v>
      </c>
    </row>
    <row r="394" spans="1:14" x14ac:dyDescent="0.35">
      <c r="A394" t="s">
        <v>434</v>
      </c>
      <c r="B394" t="s">
        <v>15</v>
      </c>
      <c r="C394" t="s">
        <v>22</v>
      </c>
      <c r="D394" t="s">
        <v>45</v>
      </c>
      <c r="E394">
        <v>341227</v>
      </c>
      <c r="F394">
        <v>12.49</v>
      </c>
      <c r="G394">
        <v>60</v>
      </c>
      <c r="H394">
        <v>198956</v>
      </c>
      <c r="I394">
        <v>623</v>
      </c>
      <c r="J394" t="s">
        <v>39</v>
      </c>
      <c r="K394">
        <v>6.7</v>
      </c>
      <c r="L394">
        <v>21.6</v>
      </c>
      <c r="M394" t="s">
        <v>23</v>
      </c>
      <c r="N394">
        <v>45307</v>
      </c>
    </row>
    <row r="395" spans="1:14" x14ac:dyDescent="0.35">
      <c r="A395" t="s">
        <v>435</v>
      </c>
      <c r="B395" t="s">
        <v>25</v>
      </c>
      <c r="C395" t="s">
        <v>16</v>
      </c>
      <c r="D395" t="s">
        <v>17</v>
      </c>
      <c r="E395">
        <v>590236</v>
      </c>
      <c r="F395">
        <v>10.65</v>
      </c>
      <c r="G395">
        <v>36</v>
      </c>
      <c r="H395">
        <v>123345</v>
      </c>
      <c r="I395">
        <v>665</v>
      </c>
      <c r="J395" t="s">
        <v>18</v>
      </c>
      <c r="K395">
        <v>10.3</v>
      </c>
      <c r="L395">
        <v>36.299999999999997</v>
      </c>
      <c r="M395" t="s">
        <v>19</v>
      </c>
      <c r="N395">
        <v>44850</v>
      </c>
    </row>
    <row r="396" spans="1:14" x14ac:dyDescent="0.35">
      <c r="A396" t="s">
        <v>436</v>
      </c>
      <c r="B396" t="s">
        <v>30</v>
      </c>
      <c r="C396" t="s">
        <v>22</v>
      </c>
      <c r="D396" t="s">
        <v>38</v>
      </c>
      <c r="E396">
        <v>245891</v>
      </c>
      <c r="F396">
        <v>12.2</v>
      </c>
      <c r="G396">
        <v>24</v>
      </c>
      <c r="H396">
        <v>128088</v>
      </c>
      <c r="I396">
        <v>623</v>
      </c>
      <c r="J396" t="s">
        <v>18</v>
      </c>
      <c r="K396">
        <v>22.5</v>
      </c>
      <c r="L396">
        <v>30.3</v>
      </c>
      <c r="M396" t="s">
        <v>23</v>
      </c>
      <c r="N396">
        <v>45181</v>
      </c>
    </row>
    <row r="397" spans="1:14" x14ac:dyDescent="0.35">
      <c r="A397" t="s">
        <v>437</v>
      </c>
      <c r="B397" t="s">
        <v>71</v>
      </c>
      <c r="C397" t="s">
        <v>34</v>
      </c>
      <c r="D397" t="s">
        <v>45</v>
      </c>
      <c r="E397">
        <v>169074</v>
      </c>
      <c r="F397">
        <v>6.27</v>
      </c>
      <c r="G397">
        <v>300</v>
      </c>
      <c r="H397">
        <v>97322</v>
      </c>
      <c r="I397">
        <v>724</v>
      </c>
      <c r="J397" t="s">
        <v>26</v>
      </c>
      <c r="K397">
        <v>22.4</v>
      </c>
      <c r="L397">
        <v>18.2</v>
      </c>
      <c r="M397" t="s">
        <v>19</v>
      </c>
      <c r="N397">
        <v>44834</v>
      </c>
    </row>
    <row r="398" spans="1:14" x14ac:dyDescent="0.35">
      <c r="A398" t="s">
        <v>438</v>
      </c>
      <c r="B398" t="s">
        <v>37</v>
      </c>
      <c r="C398" t="s">
        <v>34</v>
      </c>
      <c r="D398" t="s">
        <v>52</v>
      </c>
      <c r="E398">
        <v>478314</v>
      </c>
      <c r="F398">
        <v>11.02</v>
      </c>
      <c r="G398">
        <v>120</v>
      </c>
      <c r="H398">
        <v>49650</v>
      </c>
      <c r="I398">
        <v>630</v>
      </c>
      <c r="J398" t="s">
        <v>18</v>
      </c>
      <c r="K398">
        <v>17.100000000000001</v>
      </c>
      <c r="L398">
        <v>34</v>
      </c>
      <c r="M398" t="s">
        <v>55</v>
      </c>
      <c r="N398">
        <v>44687</v>
      </c>
    </row>
    <row r="399" spans="1:14" x14ac:dyDescent="0.35">
      <c r="A399" t="s">
        <v>439</v>
      </c>
      <c r="B399" t="s">
        <v>15</v>
      </c>
      <c r="C399" t="s">
        <v>34</v>
      </c>
      <c r="D399" t="s">
        <v>17</v>
      </c>
      <c r="E399">
        <v>514452</v>
      </c>
      <c r="F399">
        <v>6.18</v>
      </c>
      <c r="G399">
        <v>12</v>
      </c>
      <c r="H399">
        <v>122242</v>
      </c>
      <c r="I399">
        <v>821</v>
      </c>
      <c r="J399" t="s">
        <v>18</v>
      </c>
      <c r="K399">
        <v>21.5</v>
      </c>
      <c r="L399">
        <v>12.7</v>
      </c>
      <c r="M399" t="s">
        <v>19</v>
      </c>
      <c r="N399">
        <v>45361</v>
      </c>
    </row>
    <row r="400" spans="1:14" x14ac:dyDescent="0.35">
      <c r="A400" t="s">
        <v>440</v>
      </c>
      <c r="B400" t="s">
        <v>25</v>
      </c>
      <c r="C400" t="s">
        <v>16</v>
      </c>
      <c r="D400" t="s">
        <v>17</v>
      </c>
      <c r="E400">
        <v>293816</v>
      </c>
      <c r="F400">
        <v>13.81</v>
      </c>
      <c r="G400">
        <v>48</v>
      </c>
      <c r="H400">
        <v>168262</v>
      </c>
      <c r="I400">
        <v>630</v>
      </c>
      <c r="J400" t="s">
        <v>18</v>
      </c>
      <c r="K400">
        <v>2.2000000000000002</v>
      </c>
      <c r="L400">
        <v>29.5</v>
      </c>
      <c r="M400" t="s">
        <v>48</v>
      </c>
      <c r="N400">
        <v>45323</v>
      </c>
    </row>
    <row r="401" spans="1:14" x14ac:dyDescent="0.35">
      <c r="A401" t="s">
        <v>441</v>
      </c>
      <c r="B401" t="s">
        <v>25</v>
      </c>
      <c r="C401" t="s">
        <v>22</v>
      </c>
      <c r="D401" t="s">
        <v>17</v>
      </c>
      <c r="E401">
        <v>146365</v>
      </c>
      <c r="F401">
        <v>10.39</v>
      </c>
      <c r="G401">
        <v>36</v>
      </c>
      <c r="H401">
        <v>66196</v>
      </c>
      <c r="I401">
        <v>845</v>
      </c>
      <c r="J401" t="s">
        <v>39</v>
      </c>
      <c r="K401">
        <v>21.6</v>
      </c>
      <c r="L401">
        <v>25.5</v>
      </c>
      <c r="M401" t="s">
        <v>48</v>
      </c>
      <c r="N401">
        <v>45446</v>
      </c>
    </row>
    <row r="402" spans="1:14" x14ac:dyDescent="0.35">
      <c r="A402" t="s">
        <v>442</v>
      </c>
      <c r="B402" t="s">
        <v>30</v>
      </c>
      <c r="C402" t="s">
        <v>16</v>
      </c>
      <c r="D402" t="s">
        <v>17</v>
      </c>
      <c r="E402">
        <v>454076</v>
      </c>
      <c r="F402">
        <v>6.87</v>
      </c>
      <c r="G402">
        <v>240</v>
      </c>
      <c r="H402">
        <v>198521</v>
      </c>
      <c r="I402">
        <v>699</v>
      </c>
      <c r="J402" t="s">
        <v>39</v>
      </c>
      <c r="K402">
        <v>8</v>
      </c>
      <c r="L402">
        <v>18.7</v>
      </c>
      <c r="M402" t="s">
        <v>23</v>
      </c>
      <c r="N402">
        <v>44771</v>
      </c>
    </row>
    <row r="403" spans="1:14" x14ac:dyDescent="0.35">
      <c r="A403" t="s">
        <v>443</v>
      </c>
      <c r="B403" t="s">
        <v>83</v>
      </c>
      <c r="C403" t="s">
        <v>22</v>
      </c>
      <c r="D403" t="s">
        <v>17</v>
      </c>
      <c r="E403">
        <v>67507</v>
      </c>
      <c r="F403">
        <v>6.25</v>
      </c>
      <c r="G403">
        <v>240</v>
      </c>
      <c r="H403">
        <v>198733</v>
      </c>
      <c r="I403">
        <v>779</v>
      </c>
      <c r="J403" t="s">
        <v>39</v>
      </c>
      <c r="K403">
        <v>4.5</v>
      </c>
      <c r="L403">
        <v>32.200000000000003</v>
      </c>
      <c r="M403" t="s">
        <v>19</v>
      </c>
      <c r="N403">
        <v>44490</v>
      </c>
    </row>
    <row r="404" spans="1:14" x14ac:dyDescent="0.35">
      <c r="A404" t="s">
        <v>444</v>
      </c>
      <c r="B404" t="s">
        <v>15</v>
      </c>
      <c r="C404" t="s">
        <v>22</v>
      </c>
      <c r="D404" t="s">
        <v>73</v>
      </c>
      <c r="E404">
        <v>62134</v>
      </c>
      <c r="F404">
        <v>5.36</v>
      </c>
      <c r="G404">
        <v>300</v>
      </c>
      <c r="H404">
        <v>57709</v>
      </c>
      <c r="I404">
        <v>827</v>
      </c>
      <c r="J404" t="s">
        <v>18</v>
      </c>
      <c r="K404">
        <v>6</v>
      </c>
      <c r="L404">
        <v>42.9</v>
      </c>
      <c r="M404" t="s">
        <v>23</v>
      </c>
      <c r="N404">
        <v>45092</v>
      </c>
    </row>
    <row r="405" spans="1:14" x14ac:dyDescent="0.35">
      <c r="A405" t="s">
        <v>445</v>
      </c>
      <c r="B405" t="s">
        <v>25</v>
      </c>
      <c r="C405" t="s">
        <v>22</v>
      </c>
      <c r="D405" t="s">
        <v>17</v>
      </c>
      <c r="E405">
        <v>138172</v>
      </c>
      <c r="F405">
        <v>11.05</v>
      </c>
      <c r="G405">
        <v>24</v>
      </c>
      <c r="H405">
        <v>108428</v>
      </c>
      <c r="I405">
        <v>649</v>
      </c>
      <c r="J405" t="s">
        <v>26</v>
      </c>
      <c r="K405">
        <v>10.4</v>
      </c>
      <c r="L405">
        <v>48</v>
      </c>
      <c r="M405" t="s">
        <v>55</v>
      </c>
      <c r="N405">
        <v>45526</v>
      </c>
    </row>
    <row r="406" spans="1:14" x14ac:dyDescent="0.35">
      <c r="A406" t="s">
        <v>446</v>
      </c>
      <c r="B406" t="s">
        <v>30</v>
      </c>
      <c r="C406" t="s">
        <v>22</v>
      </c>
      <c r="D406" t="s">
        <v>17</v>
      </c>
      <c r="E406">
        <v>246225</v>
      </c>
      <c r="F406">
        <v>5.67</v>
      </c>
      <c r="G406">
        <v>48</v>
      </c>
      <c r="H406">
        <v>37943</v>
      </c>
      <c r="I406">
        <v>636</v>
      </c>
      <c r="J406" t="s">
        <v>18</v>
      </c>
      <c r="K406">
        <v>6.3</v>
      </c>
      <c r="L406">
        <v>32.299999999999997</v>
      </c>
      <c r="M406" t="s">
        <v>23</v>
      </c>
      <c r="N406">
        <v>45474</v>
      </c>
    </row>
    <row r="407" spans="1:14" x14ac:dyDescent="0.35">
      <c r="A407" t="s">
        <v>447</v>
      </c>
      <c r="B407" t="s">
        <v>83</v>
      </c>
      <c r="C407" t="s">
        <v>16</v>
      </c>
      <c r="D407" t="s">
        <v>38</v>
      </c>
      <c r="E407">
        <v>198069</v>
      </c>
      <c r="F407">
        <v>9.93</v>
      </c>
      <c r="G407">
        <v>48</v>
      </c>
      <c r="H407">
        <v>202312</v>
      </c>
      <c r="I407">
        <v>618</v>
      </c>
      <c r="J407" t="s">
        <v>18</v>
      </c>
      <c r="K407">
        <v>8</v>
      </c>
      <c r="L407">
        <v>24.2</v>
      </c>
      <c r="M407" t="s">
        <v>48</v>
      </c>
      <c r="N407">
        <v>45400</v>
      </c>
    </row>
    <row r="408" spans="1:14" x14ac:dyDescent="0.35">
      <c r="A408" t="s">
        <v>448</v>
      </c>
      <c r="B408" t="s">
        <v>15</v>
      </c>
      <c r="C408" t="s">
        <v>16</v>
      </c>
      <c r="D408" t="s">
        <v>32</v>
      </c>
      <c r="E408">
        <v>565897</v>
      </c>
      <c r="F408">
        <v>6.19</v>
      </c>
      <c r="G408">
        <v>60</v>
      </c>
      <c r="H408">
        <v>204832</v>
      </c>
      <c r="I408">
        <v>597</v>
      </c>
      <c r="J408" t="s">
        <v>18</v>
      </c>
      <c r="K408">
        <v>3.4</v>
      </c>
      <c r="L408">
        <v>17</v>
      </c>
      <c r="M408" t="s">
        <v>19</v>
      </c>
      <c r="N408">
        <v>44236</v>
      </c>
    </row>
    <row r="409" spans="1:14" x14ac:dyDescent="0.35">
      <c r="A409" t="s">
        <v>449</v>
      </c>
      <c r="B409" t="s">
        <v>30</v>
      </c>
      <c r="C409" t="s">
        <v>22</v>
      </c>
      <c r="D409" t="s">
        <v>38</v>
      </c>
      <c r="E409">
        <v>179037</v>
      </c>
      <c r="F409">
        <v>10.68</v>
      </c>
      <c r="G409">
        <v>48</v>
      </c>
      <c r="H409">
        <v>49042</v>
      </c>
      <c r="I409">
        <v>799</v>
      </c>
      <c r="J409" t="s">
        <v>18</v>
      </c>
      <c r="K409">
        <v>7.4</v>
      </c>
      <c r="L409">
        <v>18.3</v>
      </c>
      <c r="M409" t="s">
        <v>19</v>
      </c>
      <c r="N409">
        <v>44972</v>
      </c>
    </row>
    <row r="410" spans="1:14" x14ac:dyDescent="0.35">
      <c r="A410" t="s">
        <v>450</v>
      </c>
      <c r="B410" t="s">
        <v>83</v>
      </c>
      <c r="C410" t="s">
        <v>22</v>
      </c>
      <c r="D410" t="s">
        <v>17</v>
      </c>
      <c r="E410">
        <v>668376</v>
      </c>
      <c r="F410">
        <v>12.41</v>
      </c>
      <c r="G410">
        <v>240</v>
      </c>
      <c r="H410">
        <v>71894</v>
      </c>
      <c r="I410">
        <v>823</v>
      </c>
      <c r="J410" t="s">
        <v>18</v>
      </c>
      <c r="K410">
        <v>14.3</v>
      </c>
      <c r="L410">
        <v>27.2</v>
      </c>
      <c r="M410" t="s">
        <v>23</v>
      </c>
      <c r="N410">
        <v>44716</v>
      </c>
    </row>
    <row r="411" spans="1:14" x14ac:dyDescent="0.35">
      <c r="A411" t="s">
        <v>451</v>
      </c>
      <c r="B411" t="s">
        <v>30</v>
      </c>
      <c r="C411" t="s">
        <v>34</v>
      </c>
      <c r="D411" t="s">
        <v>32</v>
      </c>
      <c r="E411">
        <v>437995</v>
      </c>
      <c r="F411">
        <v>11.99</v>
      </c>
      <c r="G411">
        <v>120</v>
      </c>
      <c r="H411">
        <v>165941</v>
      </c>
      <c r="I411">
        <v>653</v>
      </c>
      <c r="J411" t="s">
        <v>18</v>
      </c>
      <c r="K411">
        <v>11</v>
      </c>
      <c r="L411">
        <v>22.7</v>
      </c>
      <c r="M411" t="s">
        <v>23</v>
      </c>
      <c r="N411">
        <v>44742</v>
      </c>
    </row>
    <row r="412" spans="1:14" x14ac:dyDescent="0.35">
      <c r="A412" t="s">
        <v>452</v>
      </c>
      <c r="B412" t="s">
        <v>30</v>
      </c>
      <c r="C412" t="s">
        <v>22</v>
      </c>
      <c r="D412" t="s">
        <v>17</v>
      </c>
      <c r="E412">
        <v>501013</v>
      </c>
      <c r="F412">
        <v>11.8</v>
      </c>
      <c r="G412">
        <v>24</v>
      </c>
      <c r="H412">
        <v>84759</v>
      </c>
      <c r="I412">
        <v>689</v>
      </c>
      <c r="J412" t="s">
        <v>18</v>
      </c>
      <c r="K412">
        <v>8.6999999999999993</v>
      </c>
      <c r="L412">
        <v>44.6</v>
      </c>
      <c r="M412" t="s">
        <v>19</v>
      </c>
      <c r="N412">
        <v>44432</v>
      </c>
    </row>
    <row r="413" spans="1:14" x14ac:dyDescent="0.35">
      <c r="A413" t="s">
        <v>453</v>
      </c>
      <c r="B413" t="s">
        <v>21</v>
      </c>
      <c r="C413" t="s">
        <v>22</v>
      </c>
      <c r="D413" t="s">
        <v>17</v>
      </c>
      <c r="E413">
        <v>299025</v>
      </c>
      <c r="F413">
        <v>5.32</v>
      </c>
      <c r="G413">
        <v>24</v>
      </c>
      <c r="H413">
        <v>133973</v>
      </c>
      <c r="I413">
        <v>759</v>
      </c>
      <c r="J413" t="s">
        <v>18</v>
      </c>
      <c r="K413">
        <v>18.7</v>
      </c>
      <c r="L413">
        <v>22.7</v>
      </c>
      <c r="M413" t="s">
        <v>23</v>
      </c>
      <c r="N413">
        <v>44659</v>
      </c>
    </row>
    <row r="414" spans="1:14" x14ac:dyDescent="0.35">
      <c r="A414" t="s">
        <v>454</v>
      </c>
      <c r="B414" t="s">
        <v>21</v>
      </c>
      <c r="C414" t="s">
        <v>22</v>
      </c>
      <c r="D414" t="s">
        <v>73</v>
      </c>
      <c r="E414">
        <v>742954</v>
      </c>
      <c r="F414">
        <v>4.2</v>
      </c>
      <c r="G414">
        <v>36</v>
      </c>
      <c r="H414">
        <v>72306</v>
      </c>
      <c r="I414">
        <v>611</v>
      </c>
      <c r="J414" t="s">
        <v>26</v>
      </c>
      <c r="K414">
        <v>22.3</v>
      </c>
      <c r="L414">
        <v>22.9</v>
      </c>
      <c r="M414" t="s">
        <v>55</v>
      </c>
      <c r="N414">
        <v>45448</v>
      </c>
    </row>
    <row r="415" spans="1:14" x14ac:dyDescent="0.35">
      <c r="A415" t="s">
        <v>455</v>
      </c>
      <c r="B415" t="s">
        <v>15</v>
      </c>
      <c r="C415" t="s">
        <v>16</v>
      </c>
      <c r="D415" t="s">
        <v>17</v>
      </c>
      <c r="E415">
        <v>505098</v>
      </c>
      <c r="F415">
        <v>11.1</v>
      </c>
      <c r="G415">
        <v>36</v>
      </c>
      <c r="H415">
        <v>136369</v>
      </c>
      <c r="I415">
        <v>813</v>
      </c>
      <c r="J415" t="s">
        <v>18</v>
      </c>
      <c r="K415">
        <v>18.899999999999999</v>
      </c>
      <c r="L415">
        <v>23.3</v>
      </c>
      <c r="M415" t="s">
        <v>23</v>
      </c>
      <c r="N415">
        <v>44679</v>
      </c>
    </row>
    <row r="416" spans="1:14" x14ac:dyDescent="0.35">
      <c r="A416" t="s">
        <v>456</v>
      </c>
      <c r="B416" t="s">
        <v>28</v>
      </c>
      <c r="C416" t="s">
        <v>16</v>
      </c>
      <c r="D416" t="s">
        <v>32</v>
      </c>
      <c r="E416">
        <v>712173</v>
      </c>
      <c r="F416">
        <v>7.36</v>
      </c>
      <c r="G416">
        <v>36</v>
      </c>
      <c r="H416">
        <v>214443</v>
      </c>
      <c r="I416">
        <v>604</v>
      </c>
      <c r="J416" t="s">
        <v>26</v>
      </c>
      <c r="K416">
        <v>8.3000000000000007</v>
      </c>
      <c r="L416">
        <v>41.5</v>
      </c>
      <c r="M416" t="s">
        <v>19</v>
      </c>
      <c r="N416">
        <v>44626</v>
      </c>
    </row>
    <row r="417" spans="1:14" x14ac:dyDescent="0.35">
      <c r="A417" t="s">
        <v>457</v>
      </c>
      <c r="B417" t="s">
        <v>15</v>
      </c>
      <c r="C417" t="s">
        <v>22</v>
      </c>
      <c r="D417" t="s">
        <v>32</v>
      </c>
      <c r="E417">
        <v>262803</v>
      </c>
      <c r="F417">
        <v>8.09</v>
      </c>
      <c r="G417">
        <v>240</v>
      </c>
      <c r="H417">
        <v>179990</v>
      </c>
      <c r="I417">
        <v>805</v>
      </c>
      <c r="J417" t="s">
        <v>18</v>
      </c>
      <c r="K417">
        <v>18.600000000000001</v>
      </c>
      <c r="L417">
        <v>34</v>
      </c>
      <c r="M417" t="s">
        <v>23</v>
      </c>
      <c r="N417">
        <v>45242</v>
      </c>
    </row>
    <row r="418" spans="1:14" x14ac:dyDescent="0.35">
      <c r="A418" t="s">
        <v>458</v>
      </c>
      <c r="B418" t="s">
        <v>30</v>
      </c>
      <c r="C418" t="s">
        <v>22</v>
      </c>
      <c r="D418" t="s">
        <v>17</v>
      </c>
      <c r="E418">
        <v>696381</v>
      </c>
      <c r="F418">
        <v>3.55</v>
      </c>
      <c r="G418">
        <v>240</v>
      </c>
      <c r="H418">
        <v>56379</v>
      </c>
      <c r="I418">
        <v>636</v>
      </c>
      <c r="J418" t="s">
        <v>26</v>
      </c>
      <c r="K418">
        <v>3.8</v>
      </c>
      <c r="L418">
        <v>32.6</v>
      </c>
      <c r="M418" t="s">
        <v>19</v>
      </c>
      <c r="N418">
        <v>44539</v>
      </c>
    </row>
    <row r="419" spans="1:14" x14ac:dyDescent="0.35">
      <c r="A419" t="s">
        <v>459</v>
      </c>
      <c r="B419" t="s">
        <v>30</v>
      </c>
      <c r="C419" t="s">
        <v>16</v>
      </c>
      <c r="D419" t="s">
        <v>73</v>
      </c>
      <c r="E419">
        <v>321275</v>
      </c>
      <c r="F419">
        <v>6.13</v>
      </c>
      <c r="G419">
        <v>300</v>
      </c>
      <c r="H419">
        <v>148667</v>
      </c>
      <c r="I419">
        <v>759</v>
      </c>
      <c r="J419" t="s">
        <v>18</v>
      </c>
      <c r="K419">
        <v>3.3</v>
      </c>
      <c r="L419">
        <v>21.4</v>
      </c>
      <c r="M419" t="s">
        <v>19</v>
      </c>
      <c r="N419">
        <v>45260</v>
      </c>
    </row>
    <row r="420" spans="1:14" x14ac:dyDescent="0.35">
      <c r="A420" t="s">
        <v>460</v>
      </c>
      <c r="B420" t="s">
        <v>28</v>
      </c>
      <c r="C420" t="s">
        <v>16</v>
      </c>
      <c r="D420" t="s">
        <v>17</v>
      </c>
      <c r="E420">
        <v>684447</v>
      </c>
      <c r="F420">
        <v>3.58</v>
      </c>
      <c r="G420">
        <v>240</v>
      </c>
      <c r="H420">
        <v>162034</v>
      </c>
      <c r="I420">
        <v>811</v>
      </c>
      <c r="J420" t="s">
        <v>18</v>
      </c>
      <c r="K420">
        <v>8.6</v>
      </c>
      <c r="L420">
        <v>40.700000000000003</v>
      </c>
      <c r="M420" t="s">
        <v>23</v>
      </c>
      <c r="N420">
        <v>45393</v>
      </c>
    </row>
    <row r="421" spans="1:14" x14ac:dyDescent="0.35">
      <c r="A421" t="s">
        <v>461</v>
      </c>
      <c r="B421" t="s">
        <v>25</v>
      </c>
      <c r="C421" t="s">
        <v>22</v>
      </c>
      <c r="D421" t="s">
        <v>45</v>
      </c>
      <c r="E421">
        <v>17828</v>
      </c>
      <c r="F421">
        <v>13.13</v>
      </c>
      <c r="G421">
        <v>240</v>
      </c>
      <c r="H421">
        <v>172923</v>
      </c>
      <c r="I421">
        <v>643</v>
      </c>
      <c r="J421" t="s">
        <v>18</v>
      </c>
      <c r="K421">
        <v>20.2</v>
      </c>
      <c r="L421">
        <v>9.5</v>
      </c>
      <c r="M421" t="s">
        <v>23</v>
      </c>
      <c r="N421">
        <v>45399</v>
      </c>
    </row>
    <row r="422" spans="1:14" x14ac:dyDescent="0.35">
      <c r="A422" t="s">
        <v>462</v>
      </c>
      <c r="B422" t="s">
        <v>25</v>
      </c>
      <c r="C422" t="s">
        <v>34</v>
      </c>
      <c r="D422" t="s">
        <v>52</v>
      </c>
      <c r="E422">
        <v>521835</v>
      </c>
      <c r="F422">
        <v>5.95</v>
      </c>
      <c r="G422">
        <v>240</v>
      </c>
      <c r="H422">
        <v>145626</v>
      </c>
      <c r="I422">
        <v>811</v>
      </c>
      <c r="J422" t="s">
        <v>26</v>
      </c>
      <c r="K422">
        <v>6.2</v>
      </c>
      <c r="L422">
        <v>42.8</v>
      </c>
      <c r="M422" t="s">
        <v>23</v>
      </c>
      <c r="N422">
        <v>44329</v>
      </c>
    </row>
    <row r="423" spans="1:14" x14ac:dyDescent="0.35">
      <c r="A423" t="s">
        <v>463</v>
      </c>
      <c r="B423" t="s">
        <v>25</v>
      </c>
      <c r="C423" t="s">
        <v>22</v>
      </c>
      <c r="D423" t="s">
        <v>45</v>
      </c>
      <c r="E423">
        <v>661761</v>
      </c>
      <c r="F423">
        <v>9.5</v>
      </c>
      <c r="G423">
        <v>240</v>
      </c>
      <c r="H423">
        <v>204819</v>
      </c>
      <c r="I423">
        <v>792</v>
      </c>
      <c r="J423" t="s">
        <v>26</v>
      </c>
      <c r="K423">
        <v>1.6</v>
      </c>
      <c r="L423">
        <v>28.5</v>
      </c>
      <c r="M423" t="s">
        <v>19</v>
      </c>
      <c r="N423">
        <v>44547</v>
      </c>
    </row>
    <row r="424" spans="1:14" x14ac:dyDescent="0.35">
      <c r="A424" t="s">
        <v>464</v>
      </c>
      <c r="B424" t="s">
        <v>30</v>
      </c>
      <c r="C424" t="s">
        <v>22</v>
      </c>
      <c r="D424" t="s">
        <v>73</v>
      </c>
      <c r="E424">
        <v>228461</v>
      </c>
      <c r="F424">
        <v>3.64</v>
      </c>
      <c r="G424">
        <v>120</v>
      </c>
      <c r="H424">
        <v>153180</v>
      </c>
      <c r="I424">
        <v>837</v>
      </c>
      <c r="J424" t="s">
        <v>18</v>
      </c>
      <c r="K424">
        <v>3.3</v>
      </c>
      <c r="L424">
        <v>23.9</v>
      </c>
      <c r="M424" t="s">
        <v>19</v>
      </c>
      <c r="N424">
        <v>44702</v>
      </c>
    </row>
    <row r="425" spans="1:14" x14ac:dyDescent="0.35">
      <c r="A425" t="s">
        <v>465</v>
      </c>
      <c r="B425" t="s">
        <v>15</v>
      </c>
      <c r="C425" t="s">
        <v>34</v>
      </c>
      <c r="D425" t="s">
        <v>17</v>
      </c>
      <c r="E425">
        <v>443080</v>
      </c>
      <c r="F425">
        <v>10.74</v>
      </c>
      <c r="G425">
        <v>240</v>
      </c>
      <c r="H425">
        <v>80349</v>
      </c>
      <c r="I425">
        <v>597</v>
      </c>
      <c r="J425" t="s">
        <v>18</v>
      </c>
      <c r="K425">
        <v>21.5</v>
      </c>
      <c r="L425">
        <v>27.9</v>
      </c>
      <c r="M425" t="s">
        <v>19</v>
      </c>
      <c r="N425">
        <v>44280</v>
      </c>
    </row>
    <row r="426" spans="1:14" x14ac:dyDescent="0.35">
      <c r="A426" t="s">
        <v>466</v>
      </c>
      <c r="B426" t="s">
        <v>30</v>
      </c>
      <c r="C426" t="s">
        <v>22</v>
      </c>
      <c r="D426" t="s">
        <v>32</v>
      </c>
      <c r="E426">
        <v>418523</v>
      </c>
      <c r="F426">
        <v>6.85</v>
      </c>
      <c r="G426">
        <v>300</v>
      </c>
      <c r="H426">
        <v>215428</v>
      </c>
      <c r="I426">
        <v>754</v>
      </c>
      <c r="J426" t="s">
        <v>39</v>
      </c>
      <c r="K426">
        <v>15.8</v>
      </c>
      <c r="L426">
        <v>34.700000000000003</v>
      </c>
      <c r="M426" t="s">
        <v>23</v>
      </c>
      <c r="N426">
        <v>45189</v>
      </c>
    </row>
    <row r="427" spans="1:14" x14ac:dyDescent="0.35">
      <c r="A427" t="s">
        <v>467</v>
      </c>
      <c r="B427" t="s">
        <v>15</v>
      </c>
      <c r="C427" t="s">
        <v>16</v>
      </c>
      <c r="D427" t="s">
        <v>17</v>
      </c>
      <c r="E427">
        <v>369662</v>
      </c>
      <c r="F427">
        <v>13.35</v>
      </c>
      <c r="G427">
        <v>48</v>
      </c>
      <c r="H427">
        <v>173817</v>
      </c>
      <c r="I427">
        <v>808</v>
      </c>
      <c r="J427" t="s">
        <v>26</v>
      </c>
      <c r="K427">
        <v>6.3</v>
      </c>
      <c r="L427">
        <v>8.5</v>
      </c>
      <c r="M427" t="s">
        <v>23</v>
      </c>
      <c r="N427">
        <v>45026</v>
      </c>
    </row>
    <row r="428" spans="1:14" x14ac:dyDescent="0.35">
      <c r="A428" t="s">
        <v>468</v>
      </c>
      <c r="B428" t="s">
        <v>15</v>
      </c>
      <c r="C428" t="s">
        <v>22</v>
      </c>
      <c r="D428" t="s">
        <v>38</v>
      </c>
      <c r="E428">
        <v>286755</v>
      </c>
      <c r="F428">
        <v>13.24</v>
      </c>
      <c r="G428">
        <v>48</v>
      </c>
      <c r="H428">
        <v>33730</v>
      </c>
      <c r="I428">
        <v>805</v>
      </c>
      <c r="J428" t="s">
        <v>18</v>
      </c>
      <c r="K428">
        <v>13.9</v>
      </c>
      <c r="L428">
        <v>42.9</v>
      </c>
      <c r="M428" t="s">
        <v>23</v>
      </c>
      <c r="N428">
        <v>45057</v>
      </c>
    </row>
    <row r="429" spans="1:14" x14ac:dyDescent="0.35">
      <c r="A429" t="s">
        <v>469</v>
      </c>
      <c r="B429" t="s">
        <v>37</v>
      </c>
      <c r="C429" t="s">
        <v>22</v>
      </c>
      <c r="D429" t="s">
        <v>52</v>
      </c>
      <c r="E429">
        <v>704151</v>
      </c>
      <c r="F429">
        <v>6.88</v>
      </c>
      <c r="G429">
        <v>60</v>
      </c>
      <c r="H429">
        <v>172993</v>
      </c>
      <c r="I429">
        <v>663</v>
      </c>
      <c r="J429" t="s">
        <v>18</v>
      </c>
      <c r="K429">
        <v>13.2</v>
      </c>
      <c r="L429">
        <v>25.9</v>
      </c>
      <c r="M429" t="s">
        <v>23</v>
      </c>
      <c r="N429">
        <v>44539</v>
      </c>
    </row>
    <row r="430" spans="1:14" x14ac:dyDescent="0.35">
      <c r="A430" t="s">
        <v>470</v>
      </c>
      <c r="B430" t="s">
        <v>30</v>
      </c>
      <c r="C430" t="s">
        <v>34</v>
      </c>
      <c r="D430" t="s">
        <v>17</v>
      </c>
      <c r="E430">
        <v>343384</v>
      </c>
      <c r="F430">
        <v>13.38</v>
      </c>
      <c r="G430">
        <v>120</v>
      </c>
      <c r="H430">
        <v>47023</v>
      </c>
      <c r="I430">
        <v>825</v>
      </c>
      <c r="J430" t="s">
        <v>18</v>
      </c>
      <c r="K430">
        <v>16.399999999999999</v>
      </c>
      <c r="L430">
        <v>21.7</v>
      </c>
      <c r="M430" t="s">
        <v>23</v>
      </c>
      <c r="N430">
        <v>45500</v>
      </c>
    </row>
    <row r="431" spans="1:14" x14ac:dyDescent="0.35">
      <c r="A431" t="s">
        <v>471</v>
      </c>
      <c r="B431" t="s">
        <v>30</v>
      </c>
      <c r="C431" t="s">
        <v>22</v>
      </c>
      <c r="D431" t="s">
        <v>45</v>
      </c>
      <c r="E431">
        <v>244719</v>
      </c>
      <c r="F431">
        <v>14.46</v>
      </c>
      <c r="G431">
        <v>36</v>
      </c>
      <c r="H431">
        <v>204421</v>
      </c>
      <c r="I431">
        <v>689</v>
      </c>
      <c r="J431" t="s">
        <v>26</v>
      </c>
      <c r="K431">
        <v>5.8</v>
      </c>
      <c r="L431">
        <v>13.5</v>
      </c>
      <c r="M431" t="s">
        <v>48</v>
      </c>
      <c r="N431">
        <v>45062</v>
      </c>
    </row>
    <row r="432" spans="1:14" x14ac:dyDescent="0.35">
      <c r="A432" t="s">
        <v>472</v>
      </c>
      <c r="B432" t="s">
        <v>30</v>
      </c>
      <c r="C432" t="s">
        <v>34</v>
      </c>
      <c r="D432" t="s">
        <v>17</v>
      </c>
      <c r="E432">
        <v>737763</v>
      </c>
      <c r="F432">
        <v>12.53</v>
      </c>
      <c r="G432">
        <v>12</v>
      </c>
      <c r="H432">
        <v>154796</v>
      </c>
      <c r="I432">
        <v>833</v>
      </c>
      <c r="J432" t="s">
        <v>18</v>
      </c>
      <c r="K432">
        <v>21.6</v>
      </c>
      <c r="L432">
        <v>25.6</v>
      </c>
      <c r="M432" t="s">
        <v>55</v>
      </c>
      <c r="N432">
        <v>45483</v>
      </c>
    </row>
    <row r="433" spans="1:14" x14ac:dyDescent="0.35">
      <c r="A433" t="s">
        <v>473</v>
      </c>
      <c r="B433" t="s">
        <v>25</v>
      </c>
      <c r="C433" t="s">
        <v>22</v>
      </c>
      <c r="D433" t="s">
        <v>45</v>
      </c>
      <c r="E433">
        <v>271010</v>
      </c>
      <c r="F433">
        <v>12.75</v>
      </c>
      <c r="G433">
        <v>240</v>
      </c>
      <c r="H433">
        <v>109533</v>
      </c>
      <c r="I433">
        <v>667</v>
      </c>
      <c r="J433" t="s">
        <v>35</v>
      </c>
      <c r="K433">
        <v>7.7</v>
      </c>
      <c r="L433">
        <v>27.9</v>
      </c>
      <c r="M433" t="s">
        <v>23</v>
      </c>
      <c r="N433">
        <v>45386</v>
      </c>
    </row>
    <row r="434" spans="1:14" x14ac:dyDescent="0.35">
      <c r="A434" t="s">
        <v>474</v>
      </c>
      <c r="B434" t="s">
        <v>28</v>
      </c>
      <c r="C434" t="s">
        <v>22</v>
      </c>
      <c r="D434" t="s">
        <v>32</v>
      </c>
      <c r="E434">
        <v>692605</v>
      </c>
      <c r="F434">
        <v>6.01</v>
      </c>
      <c r="G434">
        <v>60</v>
      </c>
      <c r="H434">
        <v>111286</v>
      </c>
      <c r="I434">
        <v>651</v>
      </c>
      <c r="J434" t="s">
        <v>18</v>
      </c>
      <c r="K434">
        <v>17.399999999999999</v>
      </c>
      <c r="L434">
        <v>24.1</v>
      </c>
      <c r="M434" t="s">
        <v>19</v>
      </c>
      <c r="N434">
        <v>44489</v>
      </c>
    </row>
    <row r="435" spans="1:14" x14ac:dyDescent="0.35">
      <c r="A435" t="s">
        <v>475</v>
      </c>
      <c r="B435" t="s">
        <v>30</v>
      </c>
      <c r="C435" t="s">
        <v>22</v>
      </c>
      <c r="D435" t="s">
        <v>52</v>
      </c>
      <c r="E435">
        <v>442940</v>
      </c>
      <c r="F435">
        <v>9.7200000000000006</v>
      </c>
      <c r="G435">
        <v>12</v>
      </c>
      <c r="H435">
        <v>69979</v>
      </c>
      <c r="I435">
        <v>609</v>
      </c>
      <c r="J435" t="s">
        <v>18</v>
      </c>
      <c r="K435">
        <v>0.4</v>
      </c>
      <c r="L435">
        <v>35.1</v>
      </c>
      <c r="M435" t="s">
        <v>55</v>
      </c>
      <c r="N435">
        <v>45446</v>
      </c>
    </row>
    <row r="436" spans="1:14" x14ac:dyDescent="0.35">
      <c r="A436" t="s">
        <v>476</v>
      </c>
      <c r="B436" t="s">
        <v>30</v>
      </c>
      <c r="C436" t="s">
        <v>16</v>
      </c>
      <c r="D436" t="s">
        <v>45</v>
      </c>
      <c r="E436">
        <v>600642</v>
      </c>
      <c r="F436">
        <v>3.96</v>
      </c>
      <c r="G436">
        <v>300</v>
      </c>
      <c r="H436">
        <v>50837</v>
      </c>
      <c r="I436">
        <v>751</v>
      </c>
      <c r="J436" t="s">
        <v>18</v>
      </c>
      <c r="K436">
        <v>9.3000000000000007</v>
      </c>
      <c r="L436">
        <v>24.8</v>
      </c>
      <c r="M436" t="s">
        <v>23</v>
      </c>
      <c r="N436">
        <v>45390</v>
      </c>
    </row>
    <row r="437" spans="1:14" x14ac:dyDescent="0.35">
      <c r="A437" t="s">
        <v>477</v>
      </c>
      <c r="B437" t="s">
        <v>28</v>
      </c>
      <c r="C437" t="s">
        <v>22</v>
      </c>
      <c r="D437" t="s">
        <v>17</v>
      </c>
      <c r="E437">
        <v>56374</v>
      </c>
      <c r="F437">
        <v>4.2699999999999996</v>
      </c>
      <c r="G437">
        <v>48</v>
      </c>
      <c r="H437">
        <v>174069</v>
      </c>
      <c r="I437">
        <v>756</v>
      </c>
      <c r="J437" t="s">
        <v>39</v>
      </c>
      <c r="K437">
        <v>8.8000000000000007</v>
      </c>
      <c r="L437">
        <v>46.5</v>
      </c>
      <c r="M437" t="s">
        <v>23</v>
      </c>
      <c r="N437">
        <v>44794</v>
      </c>
    </row>
    <row r="438" spans="1:14" x14ac:dyDescent="0.35">
      <c r="A438" t="s">
        <v>478</v>
      </c>
      <c r="B438" t="s">
        <v>30</v>
      </c>
      <c r="C438" t="s">
        <v>34</v>
      </c>
      <c r="D438" t="s">
        <v>17</v>
      </c>
      <c r="E438">
        <v>119397</v>
      </c>
      <c r="F438">
        <v>14.49</v>
      </c>
      <c r="G438">
        <v>60</v>
      </c>
      <c r="H438">
        <v>132975</v>
      </c>
      <c r="I438">
        <v>718</v>
      </c>
      <c r="J438" t="s">
        <v>26</v>
      </c>
      <c r="K438">
        <v>13.6</v>
      </c>
      <c r="L438">
        <v>32</v>
      </c>
      <c r="M438" t="s">
        <v>23</v>
      </c>
      <c r="N438">
        <v>44841</v>
      </c>
    </row>
    <row r="439" spans="1:14" x14ac:dyDescent="0.35">
      <c r="A439" t="s">
        <v>479</v>
      </c>
      <c r="B439" t="s">
        <v>25</v>
      </c>
      <c r="C439" t="s">
        <v>22</v>
      </c>
      <c r="D439" t="s">
        <v>17</v>
      </c>
      <c r="E439">
        <v>253552</v>
      </c>
      <c r="F439">
        <v>6.89</v>
      </c>
      <c r="G439">
        <v>300</v>
      </c>
      <c r="H439">
        <v>204111</v>
      </c>
      <c r="I439">
        <v>773</v>
      </c>
      <c r="J439" t="s">
        <v>18</v>
      </c>
      <c r="K439">
        <v>1.8</v>
      </c>
      <c r="L439">
        <v>40.299999999999997</v>
      </c>
      <c r="M439" t="s">
        <v>23</v>
      </c>
      <c r="N439">
        <v>44644</v>
      </c>
    </row>
    <row r="440" spans="1:14" x14ac:dyDescent="0.35">
      <c r="A440" t="s">
        <v>480</v>
      </c>
      <c r="B440" t="s">
        <v>28</v>
      </c>
      <c r="C440" t="s">
        <v>34</v>
      </c>
      <c r="D440" t="s">
        <v>17</v>
      </c>
      <c r="E440">
        <v>391721</v>
      </c>
      <c r="F440">
        <v>11.65</v>
      </c>
      <c r="G440">
        <v>60</v>
      </c>
      <c r="H440">
        <v>48923</v>
      </c>
      <c r="I440">
        <v>765</v>
      </c>
      <c r="J440" t="s">
        <v>26</v>
      </c>
      <c r="K440">
        <v>19.8</v>
      </c>
      <c r="L440">
        <v>12.4</v>
      </c>
      <c r="M440" t="s">
        <v>48</v>
      </c>
      <c r="N440">
        <v>44886</v>
      </c>
    </row>
    <row r="441" spans="1:14" x14ac:dyDescent="0.35">
      <c r="A441" t="s">
        <v>481</v>
      </c>
      <c r="B441" t="s">
        <v>30</v>
      </c>
      <c r="C441" t="s">
        <v>22</v>
      </c>
      <c r="D441" t="s">
        <v>17</v>
      </c>
      <c r="E441">
        <v>428332</v>
      </c>
      <c r="F441">
        <v>12.32</v>
      </c>
      <c r="G441">
        <v>24</v>
      </c>
      <c r="H441">
        <v>36876</v>
      </c>
      <c r="I441">
        <v>797</v>
      </c>
      <c r="J441" t="s">
        <v>18</v>
      </c>
      <c r="K441">
        <v>5.4</v>
      </c>
      <c r="L441">
        <v>23.9</v>
      </c>
      <c r="M441" t="s">
        <v>19</v>
      </c>
      <c r="N441">
        <v>45198</v>
      </c>
    </row>
    <row r="442" spans="1:14" x14ac:dyDescent="0.35">
      <c r="A442" t="s">
        <v>482</v>
      </c>
      <c r="B442" t="s">
        <v>30</v>
      </c>
      <c r="C442" t="s">
        <v>34</v>
      </c>
      <c r="D442" t="s">
        <v>43</v>
      </c>
      <c r="E442">
        <v>297575</v>
      </c>
      <c r="F442">
        <v>12.9</v>
      </c>
      <c r="G442">
        <v>300</v>
      </c>
      <c r="H442">
        <v>88973</v>
      </c>
      <c r="I442">
        <v>743</v>
      </c>
      <c r="J442" t="s">
        <v>18</v>
      </c>
      <c r="K442">
        <v>16.899999999999999</v>
      </c>
      <c r="L442">
        <v>21.5</v>
      </c>
      <c r="M442" t="s">
        <v>23</v>
      </c>
      <c r="N442">
        <v>45051</v>
      </c>
    </row>
    <row r="443" spans="1:14" x14ac:dyDescent="0.35">
      <c r="A443" t="s">
        <v>483</v>
      </c>
      <c r="B443" t="s">
        <v>110</v>
      </c>
      <c r="C443" t="s">
        <v>16</v>
      </c>
      <c r="D443" t="s">
        <v>45</v>
      </c>
      <c r="E443">
        <v>416124</v>
      </c>
      <c r="F443">
        <v>14.47</v>
      </c>
      <c r="G443">
        <v>48</v>
      </c>
      <c r="H443">
        <v>161959</v>
      </c>
      <c r="I443">
        <v>740</v>
      </c>
      <c r="J443" t="s">
        <v>18</v>
      </c>
      <c r="K443">
        <v>20.100000000000001</v>
      </c>
      <c r="L443">
        <v>30.8</v>
      </c>
      <c r="M443" t="s">
        <v>23</v>
      </c>
      <c r="N443">
        <v>44698</v>
      </c>
    </row>
    <row r="444" spans="1:14" x14ac:dyDescent="0.35">
      <c r="A444" t="s">
        <v>484</v>
      </c>
      <c r="B444" t="s">
        <v>15</v>
      </c>
      <c r="C444" t="s">
        <v>16</v>
      </c>
      <c r="D444" t="s">
        <v>32</v>
      </c>
      <c r="E444">
        <v>34336</v>
      </c>
      <c r="F444">
        <v>5.93</v>
      </c>
      <c r="G444">
        <v>48</v>
      </c>
      <c r="H444">
        <v>70422</v>
      </c>
      <c r="I444">
        <v>592</v>
      </c>
      <c r="J444" t="s">
        <v>18</v>
      </c>
      <c r="K444">
        <v>14</v>
      </c>
      <c r="L444">
        <v>42.4</v>
      </c>
      <c r="M444" t="s">
        <v>19</v>
      </c>
      <c r="N444">
        <v>44960</v>
      </c>
    </row>
    <row r="445" spans="1:14" x14ac:dyDescent="0.35">
      <c r="A445" t="s">
        <v>485</v>
      </c>
      <c r="B445" t="s">
        <v>15</v>
      </c>
      <c r="C445" t="s">
        <v>34</v>
      </c>
      <c r="D445" t="s">
        <v>17</v>
      </c>
      <c r="E445">
        <v>60350</v>
      </c>
      <c r="F445">
        <v>3.66</v>
      </c>
      <c r="G445">
        <v>120</v>
      </c>
      <c r="H445">
        <v>79413</v>
      </c>
      <c r="I445">
        <v>668</v>
      </c>
      <c r="J445" t="s">
        <v>18</v>
      </c>
      <c r="K445">
        <v>18.5</v>
      </c>
      <c r="L445">
        <v>11.1</v>
      </c>
      <c r="M445" t="s">
        <v>55</v>
      </c>
      <c r="N445">
        <v>44931</v>
      </c>
    </row>
    <row r="446" spans="1:14" x14ac:dyDescent="0.35">
      <c r="A446" t="s">
        <v>486</v>
      </c>
      <c r="B446" t="s">
        <v>25</v>
      </c>
      <c r="C446" t="s">
        <v>16</v>
      </c>
      <c r="D446" t="s">
        <v>43</v>
      </c>
      <c r="E446">
        <v>598849</v>
      </c>
      <c r="F446">
        <v>7.85</v>
      </c>
      <c r="G446">
        <v>60</v>
      </c>
      <c r="H446">
        <v>130484</v>
      </c>
      <c r="I446">
        <v>621</v>
      </c>
      <c r="J446" t="s">
        <v>39</v>
      </c>
      <c r="K446">
        <v>16.5</v>
      </c>
      <c r="L446">
        <v>10.9</v>
      </c>
      <c r="M446" t="s">
        <v>19</v>
      </c>
      <c r="N446">
        <v>45599</v>
      </c>
    </row>
    <row r="447" spans="1:14" x14ac:dyDescent="0.35">
      <c r="A447" t="s">
        <v>487</v>
      </c>
      <c r="B447" t="s">
        <v>71</v>
      </c>
      <c r="C447" t="s">
        <v>16</v>
      </c>
      <c r="D447" t="s">
        <v>38</v>
      </c>
      <c r="E447">
        <v>515470</v>
      </c>
      <c r="F447">
        <v>4.67</v>
      </c>
      <c r="G447">
        <v>240</v>
      </c>
      <c r="H447">
        <v>161913</v>
      </c>
      <c r="I447">
        <v>789</v>
      </c>
      <c r="J447" t="s">
        <v>18</v>
      </c>
      <c r="K447">
        <v>8.9</v>
      </c>
      <c r="L447">
        <v>42</v>
      </c>
      <c r="M447" t="s">
        <v>19</v>
      </c>
      <c r="N447">
        <v>45421</v>
      </c>
    </row>
    <row r="448" spans="1:14" x14ac:dyDescent="0.35">
      <c r="A448" t="s">
        <v>488</v>
      </c>
      <c r="B448" t="s">
        <v>110</v>
      </c>
      <c r="C448" t="s">
        <v>22</v>
      </c>
      <c r="D448" t="s">
        <v>17</v>
      </c>
      <c r="E448">
        <v>66240</v>
      </c>
      <c r="F448">
        <v>3.45</v>
      </c>
      <c r="G448">
        <v>48</v>
      </c>
      <c r="H448">
        <v>56756</v>
      </c>
      <c r="I448">
        <v>808</v>
      </c>
      <c r="J448" t="s">
        <v>39</v>
      </c>
      <c r="K448">
        <v>20.2</v>
      </c>
      <c r="L448">
        <v>16.5</v>
      </c>
      <c r="M448" t="s">
        <v>23</v>
      </c>
      <c r="N448">
        <v>44446</v>
      </c>
    </row>
    <row r="449" spans="1:14" x14ac:dyDescent="0.35">
      <c r="A449" t="s">
        <v>489</v>
      </c>
      <c r="B449" t="s">
        <v>25</v>
      </c>
      <c r="C449" t="s">
        <v>22</v>
      </c>
      <c r="D449" t="s">
        <v>38</v>
      </c>
      <c r="E449">
        <v>680453</v>
      </c>
      <c r="F449">
        <v>7.27</v>
      </c>
      <c r="G449">
        <v>60</v>
      </c>
      <c r="H449">
        <v>99576</v>
      </c>
      <c r="I449">
        <v>830</v>
      </c>
      <c r="J449" t="s">
        <v>18</v>
      </c>
      <c r="K449">
        <v>7.4</v>
      </c>
      <c r="L449">
        <v>34.799999999999997</v>
      </c>
      <c r="M449" t="s">
        <v>55</v>
      </c>
      <c r="N449">
        <v>45629</v>
      </c>
    </row>
    <row r="450" spans="1:14" x14ac:dyDescent="0.35">
      <c r="A450" t="s">
        <v>490</v>
      </c>
      <c r="B450" t="s">
        <v>15</v>
      </c>
      <c r="C450" t="s">
        <v>34</v>
      </c>
      <c r="D450" t="s">
        <v>32</v>
      </c>
      <c r="E450">
        <v>404371</v>
      </c>
      <c r="F450">
        <v>12.06</v>
      </c>
      <c r="G450">
        <v>120</v>
      </c>
      <c r="H450">
        <v>146248</v>
      </c>
      <c r="I450">
        <v>787</v>
      </c>
      <c r="J450" t="s">
        <v>26</v>
      </c>
      <c r="K450">
        <v>14.3</v>
      </c>
      <c r="L450">
        <v>29.7</v>
      </c>
      <c r="M450" t="s">
        <v>19</v>
      </c>
      <c r="N450">
        <v>44797</v>
      </c>
    </row>
    <row r="451" spans="1:14" x14ac:dyDescent="0.35">
      <c r="A451" t="s">
        <v>491</v>
      </c>
      <c r="B451" t="s">
        <v>30</v>
      </c>
      <c r="C451" t="s">
        <v>16</v>
      </c>
      <c r="D451" t="s">
        <v>17</v>
      </c>
      <c r="E451">
        <v>575895</v>
      </c>
      <c r="F451">
        <v>9.6</v>
      </c>
      <c r="G451">
        <v>240</v>
      </c>
      <c r="H451">
        <v>38304</v>
      </c>
      <c r="I451">
        <v>719</v>
      </c>
      <c r="J451" t="s">
        <v>18</v>
      </c>
      <c r="K451">
        <v>18.600000000000001</v>
      </c>
      <c r="L451">
        <v>41.3</v>
      </c>
      <c r="M451" t="s">
        <v>23</v>
      </c>
      <c r="N451">
        <v>44321</v>
      </c>
    </row>
    <row r="452" spans="1:14" x14ac:dyDescent="0.35">
      <c r="A452" t="s">
        <v>492</v>
      </c>
      <c r="B452" t="s">
        <v>25</v>
      </c>
      <c r="C452" t="s">
        <v>16</v>
      </c>
      <c r="D452" t="s">
        <v>32</v>
      </c>
      <c r="E452">
        <v>716028</v>
      </c>
      <c r="F452">
        <v>6.73</v>
      </c>
      <c r="G452">
        <v>300</v>
      </c>
      <c r="H452">
        <v>58341</v>
      </c>
      <c r="I452">
        <v>613</v>
      </c>
      <c r="J452" t="s">
        <v>18</v>
      </c>
      <c r="K452">
        <v>9.5</v>
      </c>
      <c r="L452">
        <v>13</v>
      </c>
      <c r="M452" t="s">
        <v>19</v>
      </c>
      <c r="N452">
        <v>44309</v>
      </c>
    </row>
    <row r="453" spans="1:14" x14ac:dyDescent="0.35">
      <c r="A453" t="s">
        <v>493</v>
      </c>
      <c r="B453" t="s">
        <v>15</v>
      </c>
      <c r="C453" t="s">
        <v>22</v>
      </c>
      <c r="D453" t="s">
        <v>32</v>
      </c>
      <c r="E453">
        <v>186196</v>
      </c>
      <c r="F453">
        <v>10.59</v>
      </c>
      <c r="G453">
        <v>120</v>
      </c>
      <c r="H453">
        <v>163830</v>
      </c>
      <c r="I453">
        <v>597</v>
      </c>
      <c r="J453" t="s">
        <v>18</v>
      </c>
      <c r="K453">
        <v>7.6</v>
      </c>
      <c r="L453">
        <v>13.2</v>
      </c>
      <c r="M453" t="s">
        <v>23</v>
      </c>
      <c r="N453">
        <v>45177</v>
      </c>
    </row>
    <row r="454" spans="1:14" x14ac:dyDescent="0.35">
      <c r="A454" t="s">
        <v>494</v>
      </c>
      <c r="B454" t="s">
        <v>15</v>
      </c>
      <c r="C454" t="s">
        <v>22</v>
      </c>
      <c r="D454" t="s">
        <v>17</v>
      </c>
      <c r="E454">
        <v>320014</v>
      </c>
      <c r="F454">
        <v>5.82</v>
      </c>
      <c r="G454">
        <v>24</v>
      </c>
      <c r="H454">
        <v>176082</v>
      </c>
      <c r="I454">
        <v>636</v>
      </c>
      <c r="J454" t="s">
        <v>18</v>
      </c>
      <c r="K454">
        <v>11.5</v>
      </c>
      <c r="L454">
        <v>30.3</v>
      </c>
      <c r="M454" t="s">
        <v>23</v>
      </c>
      <c r="N454">
        <v>45357</v>
      </c>
    </row>
    <row r="455" spans="1:14" x14ac:dyDescent="0.35">
      <c r="A455" t="s">
        <v>495</v>
      </c>
      <c r="B455" t="s">
        <v>83</v>
      </c>
      <c r="C455" t="s">
        <v>22</v>
      </c>
      <c r="D455" t="s">
        <v>73</v>
      </c>
      <c r="E455">
        <v>454763</v>
      </c>
      <c r="F455">
        <v>3.36</v>
      </c>
      <c r="G455">
        <v>240</v>
      </c>
      <c r="H455">
        <v>155039</v>
      </c>
      <c r="I455">
        <v>691</v>
      </c>
      <c r="J455" t="s">
        <v>26</v>
      </c>
      <c r="K455">
        <v>20.399999999999999</v>
      </c>
      <c r="L455">
        <v>45.9</v>
      </c>
      <c r="M455" t="s">
        <v>23</v>
      </c>
      <c r="N455">
        <v>44346</v>
      </c>
    </row>
    <row r="456" spans="1:14" x14ac:dyDescent="0.35">
      <c r="A456" t="s">
        <v>496</v>
      </c>
      <c r="B456" t="s">
        <v>30</v>
      </c>
      <c r="C456" t="s">
        <v>16</v>
      </c>
      <c r="D456" t="s">
        <v>43</v>
      </c>
      <c r="E456">
        <v>593398</v>
      </c>
      <c r="F456">
        <v>11.84</v>
      </c>
      <c r="G456">
        <v>60</v>
      </c>
      <c r="H456">
        <v>219830</v>
      </c>
      <c r="I456">
        <v>584</v>
      </c>
      <c r="J456" t="s">
        <v>18</v>
      </c>
      <c r="K456">
        <v>23.2</v>
      </c>
      <c r="L456">
        <v>24.6</v>
      </c>
      <c r="M456" t="s">
        <v>23</v>
      </c>
      <c r="N456">
        <v>45071</v>
      </c>
    </row>
    <row r="457" spans="1:14" x14ac:dyDescent="0.35">
      <c r="A457" t="s">
        <v>497</v>
      </c>
      <c r="B457" t="s">
        <v>15</v>
      </c>
      <c r="C457" t="s">
        <v>22</v>
      </c>
      <c r="D457" t="s">
        <v>45</v>
      </c>
      <c r="E457">
        <v>189626</v>
      </c>
      <c r="F457">
        <v>10.25</v>
      </c>
      <c r="G457">
        <v>48</v>
      </c>
      <c r="H457">
        <v>190730</v>
      </c>
      <c r="I457">
        <v>761</v>
      </c>
      <c r="J457" t="s">
        <v>26</v>
      </c>
      <c r="K457">
        <v>13.6</v>
      </c>
      <c r="L457">
        <v>21.1</v>
      </c>
      <c r="M457" t="s">
        <v>23</v>
      </c>
      <c r="N457">
        <v>44539</v>
      </c>
    </row>
    <row r="458" spans="1:14" x14ac:dyDescent="0.35">
      <c r="A458" t="s">
        <v>498</v>
      </c>
      <c r="B458" t="s">
        <v>30</v>
      </c>
      <c r="C458" t="s">
        <v>22</v>
      </c>
      <c r="D458" t="s">
        <v>32</v>
      </c>
      <c r="E458">
        <v>681296</v>
      </c>
      <c r="F458">
        <v>11.81</v>
      </c>
      <c r="G458">
        <v>48</v>
      </c>
      <c r="H458">
        <v>208074</v>
      </c>
      <c r="I458">
        <v>592</v>
      </c>
      <c r="J458" t="s">
        <v>18</v>
      </c>
      <c r="K458">
        <v>16.5</v>
      </c>
      <c r="L458">
        <v>32.299999999999997</v>
      </c>
      <c r="M458" t="s">
        <v>23</v>
      </c>
      <c r="N458">
        <v>44776</v>
      </c>
    </row>
    <row r="459" spans="1:14" x14ac:dyDescent="0.35">
      <c r="A459" t="s">
        <v>499</v>
      </c>
      <c r="B459" t="s">
        <v>15</v>
      </c>
      <c r="C459" t="s">
        <v>22</v>
      </c>
      <c r="D459" t="s">
        <v>32</v>
      </c>
      <c r="E459">
        <v>384039</v>
      </c>
      <c r="F459">
        <v>3.64</v>
      </c>
      <c r="G459">
        <v>60</v>
      </c>
      <c r="H459">
        <v>160447</v>
      </c>
      <c r="I459">
        <v>838</v>
      </c>
      <c r="J459" t="s">
        <v>18</v>
      </c>
      <c r="K459">
        <v>22.6</v>
      </c>
      <c r="L459">
        <v>45.2</v>
      </c>
      <c r="M459" t="s">
        <v>23</v>
      </c>
      <c r="N459">
        <v>44979</v>
      </c>
    </row>
    <row r="460" spans="1:14" x14ac:dyDescent="0.35">
      <c r="A460" t="s">
        <v>500</v>
      </c>
      <c r="B460" t="s">
        <v>30</v>
      </c>
      <c r="C460" t="s">
        <v>22</v>
      </c>
      <c r="D460" t="s">
        <v>45</v>
      </c>
      <c r="E460">
        <v>533714</v>
      </c>
      <c r="F460">
        <v>12.66</v>
      </c>
      <c r="G460">
        <v>60</v>
      </c>
      <c r="H460">
        <v>127485</v>
      </c>
      <c r="I460">
        <v>669</v>
      </c>
      <c r="J460" t="s">
        <v>18</v>
      </c>
      <c r="K460">
        <v>2.5</v>
      </c>
      <c r="L460">
        <v>41.5</v>
      </c>
      <c r="M460" t="s">
        <v>23</v>
      </c>
      <c r="N460">
        <v>44517</v>
      </c>
    </row>
    <row r="461" spans="1:14" x14ac:dyDescent="0.35">
      <c r="A461" t="s">
        <v>501</v>
      </c>
      <c r="B461" t="s">
        <v>30</v>
      </c>
      <c r="C461" t="s">
        <v>16</v>
      </c>
      <c r="D461" t="s">
        <v>32</v>
      </c>
      <c r="E461">
        <v>749199</v>
      </c>
      <c r="F461">
        <v>10.199999999999999</v>
      </c>
      <c r="G461">
        <v>60</v>
      </c>
      <c r="H461">
        <v>50092</v>
      </c>
      <c r="I461">
        <v>683</v>
      </c>
      <c r="J461" t="s">
        <v>39</v>
      </c>
      <c r="K461">
        <v>5.8</v>
      </c>
      <c r="L461">
        <v>47.8</v>
      </c>
      <c r="M461" t="s">
        <v>23</v>
      </c>
      <c r="N461">
        <v>45018</v>
      </c>
    </row>
    <row r="462" spans="1:14" x14ac:dyDescent="0.35">
      <c r="A462" t="s">
        <v>502</v>
      </c>
      <c r="B462" t="s">
        <v>30</v>
      </c>
      <c r="C462" t="s">
        <v>22</v>
      </c>
      <c r="D462" t="s">
        <v>17</v>
      </c>
      <c r="E462">
        <v>446048</v>
      </c>
      <c r="F462">
        <v>9.57</v>
      </c>
      <c r="G462">
        <v>36</v>
      </c>
      <c r="H462">
        <v>159562</v>
      </c>
      <c r="I462">
        <v>765</v>
      </c>
      <c r="J462" t="s">
        <v>26</v>
      </c>
      <c r="K462">
        <v>17.7</v>
      </c>
      <c r="L462">
        <v>8.9</v>
      </c>
      <c r="M462" t="s">
        <v>23</v>
      </c>
      <c r="N462">
        <v>44728</v>
      </c>
    </row>
    <row r="463" spans="1:14" x14ac:dyDescent="0.35">
      <c r="A463" t="s">
        <v>503</v>
      </c>
      <c r="B463" t="s">
        <v>28</v>
      </c>
      <c r="C463" t="s">
        <v>16</v>
      </c>
      <c r="D463" t="s">
        <v>32</v>
      </c>
      <c r="E463">
        <v>557439</v>
      </c>
      <c r="F463">
        <v>10.26</v>
      </c>
      <c r="G463">
        <v>240</v>
      </c>
      <c r="H463">
        <v>31729</v>
      </c>
      <c r="I463">
        <v>829</v>
      </c>
      <c r="J463" t="s">
        <v>18</v>
      </c>
      <c r="K463">
        <v>20.6</v>
      </c>
      <c r="L463">
        <v>12.5</v>
      </c>
      <c r="M463" t="s">
        <v>19</v>
      </c>
      <c r="N463">
        <v>45509</v>
      </c>
    </row>
    <row r="464" spans="1:14" x14ac:dyDescent="0.35">
      <c r="A464" t="s">
        <v>504</v>
      </c>
      <c r="B464" t="s">
        <v>25</v>
      </c>
      <c r="C464" t="s">
        <v>22</v>
      </c>
      <c r="D464" t="s">
        <v>38</v>
      </c>
      <c r="E464">
        <v>278452</v>
      </c>
      <c r="F464">
        <v>12.97</v>
      </c>
      <c r="G464">
        <v>48</v>
      </c>
      <c r="H464">
        <v>165046</v>
      </c>
      <c r="I464">
        <v>834</v>
      </c>
      <c r="J464" t="s">
        <v>18</v>
      </c>
      <c r="K464">
        <v>21.4</v>
      </c>
      <c r="L464">
        <v>32.4</v>
      </c>
      <c r="M464" t="s">
        <v>23</v>
      </c>
      <c r="N464">
        <v>44688</v>
      </c>
    </row>
    <row r="465" spans="1:14" x14ac:dyDescent="0.35">
      <c r="A465" t="s">
        <v>505</v>
      </c>
      <c r="B465" t="s">
        <v>15</v>
      </c>
      <c r="C465" t="s">
        <v>22</v>
      </c>
      <c r="D465" t="s">
        <v>32</v>
      </c>
      <c r="E465">
        <v>245853</v>
      </c>
      <c r="F465">
        <v>9.83</v>
      </c>
      <c r="G465">
        <v>240</v>
      </c>
      <c r="H465">
        <v>146222</v>
      </c>
      <c r="I465">
        <v>655</v>
      </c>
      <c r="J465" t="s">
        <v>18</v>
      </c>
      <c r="K465">
        <v>10.4</v>
      </c>
      <c r="L465">
        <v>40.799999999999997</v>
      </c>
      <c r="M465" t="s">
        <v>23</v>
      </c>
      <c r="N465">
        <v>44808</v>
      </c>
    </row>
    <row r="466" spans="1:14" x14ac:dyDescent="0.35">
      <c r="A466" t="s">
        <v>506</v>
      </c>
      <c r="B466" t="s">
        <v>21</v>
      </c>
      <c r="C466" t="s">
        <v>22</v>
      </c>
      <c r="D466" t="s">
        <v>17</v>
      </c>
      <c r="E466">
        <v>181743</v>
      </c>
      <c r="F466">
        <v>9.76</v>
      </c>
      <c r="G466">
        <v>120</v>
      </c>
      <c r="H466">
        <v>113216</v>
      </c>
      <c r="I466">
        <v>687</v>
      </c>
      <c r="J466" t="s">
        <v>35</v>
      </c>
      <c r="K466">
        <v>2.2000000000000002</v>
      </c>
      <c r="L466">
        <v>19.399999999999999</v>
      </c>
      <c r="M466" t="s">
        <v>55</v>
      </c>
      <c r="N466">
        <v>44448</v>
      </c>
    </row>
    <row r="467" spans="1:14" x14ac:dyDescent="0.35">
      <c r="A467" t="s">
        <v>507</v>
      </c>
      <c r="B467" t="s">
        <v>15</v>
      </c>
      <c r="C467" t="s">
        <v>22</v>
      </c>
      <c r="D467" t="s">
        <v>38</v>
      </c>
      <c r="E467">
        <v>95306</v>
      </c>
      <c r="F467">
        <v>14.39</v>
      </c>
      <c r="G467">
        <v>48</v>
      </c>
      <c r="H467">
        <v>111860</v>
      </c>
      <c r="I467">
        <v>735</v>
      </c>
      <c r="J467" t="s">
        <v>26</v>
      </c>
      <c r="K467">
        <v>10.9</v>
      </c>
      <c r="L467">
        <v>17.600000000000001</v>
      </c>
      <c r="M467" t="s">
        <v>19</v>
      </c>
      <c r="N467">
        <v>45297</v>
      </c>
    </row>
    <row r="468" spans="1:14" x14ac:dyDescent="0.35">
      <c r="A468" t="s">
        <v>508</v>
      </c>
      <c r="B468" t="s">
        <v>30</v>
      </c>
      <c r="C468" t="s">
        <v>22</v>
      </c>
      <c r="D468" t="s">
        <v>17</v>
      </c>
      <c r="E468">
        <v>531492</v>
      </c>
      <c r="F468">
        <v>11.75</v>
      </c>
      <c r="G468">
        <v>36</v>
      </c>
      <c r="H468">
        <v>124870</v>
      </c>
      <c r="I468">
        <v>661</v>
      </c>
      <c r="J468" t="s">
        <v>18</v>
      </c>
      <c r="K468">
        <v>5.8</v>
      </c>
      <c r="L468">
        <v>39.5</v>
      </c>
      <c r="M468" t="s">
        <v>55</v>
      </c>
      <c r="N468">
        <v>45612</v>
      </c>
    </row>
    <row r="469" spans="1:14" x14ac:dyDescent="0.35">
      <c r="A469" t="s">
        <v>509</v>
      </c>
      <c r="B469" t="s">
        <v>37</v>
      </c>
      <c r="C469" t="s">
        <v>22</v>
      </c>
      <c r="D469" t="s">
        <v>17</v>
      </c>
      <c r="E469">
        <v>97769</v>
      </c>
      <c r="F469">
        <v>8.1999999999999993</v>
      </c>
      <c r="G469">
        <v>60</v>
      </c>
      <c r="H469">
        <v>49398</v>
      </c>
      <c r="I469">
        <v>656</v>
      </c>
      <c r="J469" t="s">
        <v>18</v>
      </c>
      <c r="K469">
        <v>7.3</v>
      </c>
      <c r="L469">
        <v>10.3</v>
      </c>
      <c r="M469" t="s">
        <v>23</v>
      </c>
      <c r="N469">
        <v>45632</v>
      </c>
    </row>
    <row r="470" spans="1:14" x14ac:dyDescent="0.35">
      <c r="A470" t="s">
        <v>510</v>
      </c>
      <c r="B470" t="s">
        <v>30</v>
      </c>
      <c r="C470" t="s">
        <v>16</v>
      </c>
      <c r="D470" t="s">
        <v>17</v>
      </c>
      <c r="E470">
        <v>92265</v>
      </c>
      <c r="F470">
        <v>11.19</v>
      </c>
      <c r="G470">
        <v>24</v>
      </c>
      <c r="H470">
        <v>62650</v>
      </c>
      <c r="I470">
        <v>837</v>
      </c>
      <c r="J470" t="s">
        <v>18</v>
      </c>
      <c r="K470">
        <v>19.3</v>
      </c>
      <c r="L470">
        <v>22.8</v>
      </c>
      <c r="M470" t="s">
        <v>23</v>
      </c>
      <c r="N470">
        <v>44369</v>
      </c>
    </row>
    <row r="471" spans="1:14" x14ac:dyDescent="0.35">
      <c r="A471" t="s">
        <v>511</v>
      </c>
      <c r="B471" t="s">
        <v>21</v>
      </c>
      <c r="C471" t="s">
        <v>22</v>
      </c>
      <c r="D471" t="s">
        <v>17</v>
      </c>
      <c r="E471">
        <v>57428</v>
      </c>
      <c r="F471">
        <v>7.6</v>
      </c>
      <c r="G471">
        <v>60</v>
      </c>
      <c r="H471">
        <v>180364</v>
      </c>
      <c r="I471">
        <v>706</v>
      </c>
      <c r="J471" t="s">
        <v>35</v>
      </c>
      <c r="K471">
        <v>1.9</v>
      </c>
      <c r="L471">
        <v>28.2</v>
      </c>
      <c r="M471" t="s">
        <v>19</v>
      </c>
      <c r="N471">
        <v>45071</v>
      </c>
    </row>
    <row r="472" spans="1:14" x14ac:dyDescent="0.35">
      <c r="A472" t="s">
        <v>512</v>
      </c>
      <c r="B472" t="s">
        <v>30</v>
      </c>
      <c r="C472" t="s">
        <v>16</v>
      </c>
      <c r="D472" t="s">
        <v>38</v>
      </c>
      <c r="E472">
        <v>563158</v>
      </c>
      <c r="F472">
        <v>5.79</v>
      </c>
      <c r="G472">
        <v>300</v>
      </c>
      <c r="H472">
        <v>131889</v>
      </c>
      <c r="I472">
        <v>667</v>
      </c>
      <c r="J472" t="s">
        <v>18</v>
      </c>
      <c r="K472">
        <v>20.7</v>
      </c>
      <c r="L472">
        <v>30.4</v>
      </c>
      <c r="M472" t="s">
        <v>23</v>
      </c>
      <c r="N472">
        <v>44397</v>
      </c>
    </row>
    <row r="473" spans="1:14" x14ac:dyDescent="0.35">
      <c r="A473" t="s">
        <v>513</v>
      </c>
      <c r="B473" t="s">
        <v>21</v>
      </c>
      <c r="C473" t="s">
        <v>34</v>
      </c>
      <c r="D473" t="s">
        <v>32</v>
      </c>
      <c r="E473">
        <v>632835</v>
      </c>
      <c r="F473">
        <v>9.94</v>
      </c>
      <c r="G473">
        <v>60</v>
      </c>
      <c r="H473">
        <v>31159</v>
      </c>
      <c r="I473">
        <v>783</v>
      </c>
      <c r="J473" t="s">
        <v>26</v>
      </c>
      <c r="K473">
        <v>10.7</v>
      </c>
      <c r="L473">
        <v>37.1</v>
      </c>
      <c r="M473" t="s">
        <v>23</v>
      </c>
      <c r="N473">
        <v>44413</v>
      </c>
    </row>
    <row r="474" spans="1:14" x14ac:dyDescent="0.35">
      <c r="A474" t="s">
        <v>514</v>
      </c>
      <c r="B474" t="s">
        <v>30</v>
      </c>
      <c r="C474" t="s">
        <v>16</v>
      </c>
      <c r="D474" t="s">
        <v>17</v>
      </c>
      <c r="E474">
        <v>54067</v>
      </c>
      <c r="F474">
        <v>13.69</v>
      </c>
      <c r="G474">
        <v>36</v>
      </c>
      <c r="H474">
        <v>126162</v>
      </c>
      <c r="I474">
        <v>595</v>
      </c>
      <c r="J474" t="s">
        <v>18</v>
      </c>
      <c r="K474">
        <v>14.9</v>
      </c>
      <c r="L474">
        <v>22.2</v>
      </c>
      <c r="M474" t="s">
        <v>23</v>
      </c>
      <c r="N474">
        <v>44572</v>
      </c>
    </row>
    <row r="475" spans="1:14" x14ac:dyDescent="0.35">
      <c r="A475" t="s">
        <v>515</v>
      </c>
      <c r="B475" t="s">
        <v>83</v>
      </c>
      <c r="C475" t="s">
        <v>22</v>
      </c>
      <c r="D475" t="s">
        <v>43</v>
      </c>
      <c r="E475">
        <v>117217</v>
      </c>
      <c r="F475">
        <v>13.7</v>
      </c>
      <c r="G475">
        <v>240</v>
      </c>
      <c r="H475">
        <v>130834</v>
      </c>
      <c r="I475">
        <v>730</v>
      </c>
      <c r="J475" t="s">
        <v>26</v>
      </c>
      <c r="K475">
        <v>2.2000000000000002</v>
      </c>
      <c r="L475">
        <v>32.5</v>
      </c>
      <c r="M475" t="s">
        <v>55</v>
      </c>
      <c r="N475">
        <v>44207</v>
      </c>
    </row>
    <row r="476" spans="1:14" x14ac:dyDescent="0.35">
      <c r="A476" t="s">
        <v>516</v>
      </c>
      <c r="B476" t="s">
        <v>15</v>
      </c>
      <c r="C476" t="s">
        <v>22</v>
      </c>
      <c r="D476" t="s">
        <v>43</v>
      </c>
      <c r="E476">
        <v>423184</v>
      </c>
      <c r="F476">
        <v>7.06</v>
      </c>
      <c r="G476">
        <v>48</v>
      </c>
      <c r="H476">
        <v>176137</v>
      </c>
      <c r="I476">
        <v>833</v>
      </c>
      <c r="J476" t="s">
        <v>26</v>
      </c>
      <c r="K476">
        <v>8.4</v>
      </c>
      <c r="L476">
        <v>31.4</v>
      </c>
      <c r="M476" t="s">
        <v>23</v>
      </c>
      <c r="N476">
        <v>45232</v>
      </c>
    </row>
    <row r="477" spans="1:14" x14ac:dyDescent="0.35">
      <c r="A477" t="s">
        <v>517</v>
      </c>
      <c r="B477" t="s">
        <v>303</v>
      </c>
      <c r="C477" t="s">
        <v>22</v>
      </c>
      <c r="D477" t="s">
        <v>43</v>
      </c>
      <c r="E477">
        <v>628222</v>
      </c>
      <c r="F477">
        <v>9.16</v>
      </c>
      <c r="G477">
        <v>60</v>
      </c>
      <c r="H477">
        <v>49638</v>
      </c>
      <c r="I477">
        <v>767</v>
      </c>
      <c r="J477" t="s">
        <v>26</v>
      </c>
      <c r="K477">
        <v>2.2000000000000002</v>
      </c>
      <c r="L477">
        <v>29.9</v>
      </c>
      <c r="M477" t="s">
        <v>55</v>
      </c>
      <c r="N477">
        <v>45088</v>
      </c>
    </row>
    <row r="478" spans="1:14" x14ac:dyDescent="0.35">
      <c r="A478" t="s">
        <v>518</v>
      </c>
      <c r="B478" t="s">
        <v>30</v>
      </c>
      <c r="C478" t="s">
        <v>22</v>
      </c>
      <c r="D478" t="s">
        <v>17</v>
      </c>
      <c r="E478">
        <v>147980</v>
      </c>
      <c r="F478">
        <v>5.59</v>
      </c>
      <c r="G478">
        <v>48</v>
      </c>
      <c r="H478">
        <v>29073</v>
      </c>
      <c r="I478">
        <v>611</v>
      </c>
      <c r="J478" t="s">
        <v>18</v>
      </c>
      <c r="K478">
        <v>24</v>
      </c>
      <c r="L478">
        <v>33.6</v>
      </c>
      <c r="M478" t="s">
        <v>55</v>
      </c>
      <c r="N478">
        <v>44631</v>
      </c>
    </row>
    <row r="479" spans="1:14" x14ac:dyDescent="0.35">
      <c r="A479" t="s">
        <v>519</v>
      </c>
      <c r="B479" t="s">
        <v>15</v>
      </c>
      <c r="C479" t="s">
        <v>34</v>
      </c>
      <c r="D479" t="s">
        <v>32</v>
      </c>
      <c r="E479">
        <v>507367</v>
      </c>
      <c r="F479">
        <v>14.45</v>
      </c>
      <c r="G479">
        <v>12</v>
      </c>
      <c r="H479">
        <v>205583</v>
      </c>
      <c r="I479">
        <v>584</v>
      </c>
      <c r="J479" t="s">
        <v>39</v>
      </c>
      <c r="K479">
        <v>20.2</v>
      </c>
      <c r="L479">
        <v>18.399999999999999</v>
      </c>
      <c r="M479" t="s">
        <v>23</v>
      </c>
      <c r="N479">
        <v>45014</v>
      </c>
    </row>
    <row r="480" spans="1:14" x14ac:dyDescent="0.35">
      <c r="A480" t="s">
        <v>520</v>
      </c>
      <c r="B480" t="s">
        <v>21</v>
      </c>
      <c r="C480" t="s">
        <v>22</v>
      </c>
      <c r="D480" t="s">
        <v>52</v>
      </c>
      <c r="E480">
        <v>341851</v>
      </c>
      <c r="F480">
        <v>14.29</v>
      </c>
      <c r="G480">
        <v>120</v>
      </c>
      <c r="H480">
        <v>57320</v>
      </c>
      <c r="I480">
        <v>748</v>
      </c>
      <c r="J480" t="s">
        <v>18</v>
      </c>
      <c r="K480">
        <v>11.5</v>
      </c>
      <c r="L480">
        <v>11.4</v>
      </c>
      <c r="M480" t="s">
        <v>19</v>
      </c>
      <c r="N480">
        <v>45593</v>
      </c>
    </row>
    <row r="481" spans="1:14" x14ac:dyDescent="0.35">
      <c r="A481" t="s">
        <v>521</v>
      </c>
      <c r="B481" t="s">
        <v>15</v>
      </c>
      <c r="C481" t="s">
        <v>22</v>
      </c>
      <c r="D481" t="s">
        <v>38</v>
      </c>
      <c r="E481">
        <v>214329</v>
      </c>
      <c r="F481">
        <v>10.54</v>
      </c>
      <c r="G481">
        <v>240</v>
      </c>
      <c r="H481">
        <v>62924</v>
      </c>
      <c r="I481">
        <v>760</v>
      </c>
      <c r="J481" t="s">
        <v>18</v>
      </c>
      <c r="K481">
        <v>5.6</v>
      </c>
      <c r="L481">
        <v>12.8</v>
      </c>
      <c r="M481" t="s">
        <v>19</v>
      </c>
      <c r="N481">
        <v>45493</v>
      </c>
    </row>
    <row r="482" spans="1:14" x14ac:dyDescent="0.35">
      <c r="A482" t="s">
        <v>522</v>
      </c>
      <c r="B482" t="s">
        <v>28</v>
      </c>
      <c r="C482" t="s">
        <v>16</v>
      </c>
      <c r="D482" t="s">
        <v>17</v>
      </c>
      <c r="E482">
        <v>262354</v>
      </c>
      <c r="F482">
        <v>12.29</v>
      </c>
      <c r="G482">
        <v>48</v>
      </c>
      <c r="H482">
        <v>199806</v>
      </c>
      <c r="I482">
        <v>757</v>
      </c>
      <c r="J482" t="s">
        <v>18</v>
      </c>
      <c r="K482">
        <v>23.3</v>
      </c>
      <c r="L482">
        <v>17</v>
      </c>
      <c r="M482" t="s">
        <v>55</v>
      </c>
      <c r="N482">
        <v>45127</v>
      </c>
    </row>
    <row r="483" spans="1:14" x14ac:dyDescent="0.35">
      <c r="A483" t="s">
        <v>523</v>
      </c>
      <c r="B483" t="s">
        <v>28</v>
      </c>
      <c r="C483" t="s">
        <v>16</v>
      </c>
      <c r="D483" t="s">
        <v>17</v>
      </c>
      <c r="E483">
        <v>528406</v>
      </c>
      <c r="F483">
        <v>11.28</v>
      </c>
      <c r="G483">
        <v>24</v>
      </c>
      <c r="H483">
        <v>96116</v>
      </c>
      <c r="I483">
        <v>722</v>
      </c>
      <c r="J483" t="s">
        <v>35</v>
      </c>
      <c r="K483">
        <v>8.6</v>
      </c>
      <c r="L483">
        <v>28</v>
      </c>
      <c r="M483" t="s">
        <v>23</v>
      </c>
      <c r="N483">
        <v>44887</v>
      </c>
    </row>
    <row r="484" spans="1:14" x14ac:dyDescent="0.35">
      <c r="A484" t="s">
        <v>524</v>
      </c>
      <c r="B484" t="s">
        <v>15</v>
      </c>
      <c r="C484" t="s">
        <v>16</v>
      </c>
      <c r="D484" t="s">
        <v>32</v>
      </c>
      <c r="E484">
        <v>66215</v>
      </c>
      <c r="F484">
        <v>9.9</v>
      </c>
      <c r="G484">
        <v>120</v>
      </c>
      <c r="H484">
        <v>199097</v>
      </c>
      <c r="I484">
        <v>827</v>
      </c>
      <c r="J484" t="s">
        <v>18</v>
      </c>
      <c r="K484">
        <v>4</v>
      </c>
      <c r="L484">
        <v>41.6</v>
      </c>
      <c r="M484" t="s">
        <v>19</v>
      </c>
      <c r="N484">
        <v>45352</v>
      </c>
    </row>
    <row r="485" spans="1:14" x14ac:dyDescent="0.35">
      <c r="A485" t="s">
        <v>525</v>
      </c>
      <c r="B485" t="s">
        <v>28</v>
      </c>
      <c r="C485" t="s">
        <v>22</v>
      </c>
      <c r="D485" t="s">
        <v>73</v>
      </c>
      <c r="E485">
        <v>716195</v>
      </c>
      <c r="F485">
        <v>3.8</v>
      </c>
      <c r="G485">
        <v>300</v>
      </c>
      <c r="H485">
        <v>30159</v>
      </c>
      <c r="I485">
        <v>706</v>
      </c>
      <c r="J485" t="s">
        <v>26</v>
      </c>
      <c r="K485">
        <v>14.1</v>
      </c>
      <c r="L485">
        <v>36.1</v>
      </c>
      <c r="M485" t="s">
        <v>23</v>
      </c>
      <c r="N485">
        <v>45051</v>
      </c>
    </row>
    <row r="486" spans="1:14" x14ac:dyDescent="0.35">
      <c r="A486" t="s">
        <v>526</v>
      </c>
      <c r="B486" t="s">
        <v>15</v>
      </c>
      <c r="C486" t="s">
        <v>22</v>
      </c>
      <c r="D486" t="s">
        <v>32</v>
      </c>
      <c r="E486">
        <v>316573</v>
      </c>
      <c r="F486">
        <v>8.34</v>
      </c>
      <c r="G486">
        <v>300</v>
      </c>
      <c r="H486">
        <v>76940</v>
      </c>
      <c r="I486">
        <v>842</v>
      </c>
      <c r="J486" t="s">
        <v>26</v>
      </c>
      <c r="K486">
        <v>23.6</v>
      </c>
      <c r="L486">
        <v>39.6</v>
      </c>
      <c r="M486" t="s">
        <v>48</v>
      </c>
      <c r="N486">
        <v>44980</v>
      </c>
    </row>
    <row r="487" spans="1:14" x14ac:dyDescent="0.35">
      <c r="A487" t="s">
        <v>527</v>
      </c>
      <c r="B487" t="s">
        <v>83</v>
      </c>
      <c r="C487" t="s">
        <v>16</v>
      </c>
      <c r="D487" t="s">
        <v>32</v>
      </c>
      <c r="E487">
        <v>637336</v>
      </c>
      <c r="F487">
        <v>10.83</v>
      </c>
      <c r="G487">
        <v>24</v>
      </c>
      <c r="H487">
        <v>107436</v>
      </c>
      <c r="I487">
        <v>619</v>
      </c>
      <c r="J487" t="s">
        <v>18</v>
      </c>
      <c r="K487">
        <v>0.1</v>
      </c>
      <c r="L487">
        <v>22</v>
      </c>
      <c r="M487" t="s">
        <v>23</v>
      </c>
      <c r="N487">
        <v>44515</v>
      </c>
    </row>
    <row r="488" spans="1:14" x14ac:dyDescent="0.35">
      <c r="A488" t="s">
        <v>528</v>
      </c>
      <c r="B488" t="s">
        <v>30</v>
      </c>
      <c r="C488" t="s">
        <v>22</v>
      </c>
      <c r="D488" t="s">
        <v>17</v>
      </c>
      <c r="E488">
        <v>174530</v>
      </c>
      <c r="F488">
        <v>10.86</v>
      </c>
      <c r="G488">
        <v>60</v>
      </c>
      <c r="H488">
        <v>42678</v>
      </c>
      <c r="I488">
        <v>834</v>
      </c>
      <c r="J488" t="s">
        <v>18</v>
      </c>
      <c r="K488">
        <v>6</v>
      </c>
      <c r="L488">
        <v>24.2</v>
      </c>
      <c r="M488" t="s">
        <v>23</v>
      </c>
      <c r="N488">
        <v>45040</v>
      </c>
    </row>
    <row r="489" spans="1:14" x14ac:dyDescent="0.35">
      <c r="A489" t="s">
        <v>529</v>
      </c>
      <c r="B489" t="s">
        <v>30</v>
      </c>
      <c r="C489" t="s">
        <v>22</v>
      </c>
      <c r="D489" t="s">
        <v>45</v>
      </c>
      <c r="E489">
        <v>182241</v>
      </c>
      <c r="F489">
        <v>7.42</v>
      </c>
      <c r="G489">
        <v>120</v>
      </c>
      <c r="H489">
        <v>206276</v>
      </c>
      <c r="I489">
        <v>722</v>
      </c>
      <c r="J489" t="s">
        <v>18</v>
      </c>
      <c r="K489">
        <v>23.5</v>
      </c>
      <c r="L489">
        <v>23.7</v>
      </c>
      <c r="M489" t="s">
        <v>19</v>
      </c>
      <c r="N489">
        <v>44817</v>
      </c>
    </row>
    <row r="490" spans="1:14" x14ac:dyDescent="0.35">
      <c r="A490" t="s">
        <v>530</v>
      </c>
      <c r="B490" t="s">
        <v>21</v>
      </c>
      <c r="C490" t="s">
        <v>22</v>
      </c>
      <c r="D490" t="s">
        <v>43</v>
      </c>
      <c r="E490">
        <v>143731</v>
      </c>
      <c r="F490">
        <v>13.84</v>
      </c>
      <c r="G490">
        <v>48</v>
      </c>
      <c r="H490">
        <v>171093</v>
      </c>
      <c r="I490">
        <v>819</v>
      </c>
      <c r="J490" t="s">
        <v>18</v>
      </c>
      <c r="K490">
        <v>4.3</v>
      </c>
      <c r="L490">
        <v>15.7</v>
      </c>
      <c r="M490" t="s">
        <v>55</v>
      </c>
      <c r="N490">
        <v>44981</v>
      </c>
    </row>
    <row r="491" spans="1:14" x14ac:dyDescent="0.35">
      <c r="A491" t="s">
        <v>531</v>
      </c>
      <c r="B491" t="s">
        <v>83</v>
      </c>
      <c r="C491" t="s">
        <v>22</v>
      </c>
      <c r="D491" t="s">
        <v>32</v>
      </c>
      <c r="E491">
        <v>458830</v>
      </c>
      <c r="F491">
        <v>5.09</v>
      </c>
      <c r="G491">
        <v>120</v>
      </c>
      <c r="H491">
        <v>165844</v>
      </c>
      <c r="I491">
        <v>807</v>
      </c>
      <c r="J491" t="s">
        <v>18</v>
      </c>
      <c r="K491">
        <v>2.8</v>
      </c>
      <c r="L491">
        <v>10.4</v>
      </c>
      <c r="M491" t="s">
        <v>19</v>
      </c>
      <c r="N491">
        <v>45388</v>
      </c>
    </row>
    <row r="492" spans="1:14" x14ac:dyDescent="0.35">
      <c r="A492" t="s">
        <v>532</v>
      </c>
      <c r="B492" t="s">
        <v>15</v>
      </c>
      <c r="C492" t="s">
        <v>22</v>
      </c>
      <c r="D492" t="s">
        <v>38</v>
      </c>
      <c r="E492">
        <v>344384</v>
      </c>
      <c r="F492">
        <v>8.85</v>
      </c>
      <c r="G492">
        <v>60</v>
      </c>
      <c r="H492">
        <v>95163</v>
      </c>
      <c r="I492">
        <v>777</v>
      </c>
      <c r="J492" t="s">
        <v>18</v>
      </c>
      <c r="K492">
        <v>14.3</v>
      </c>
      <c r="L492">
        <v>31.6</v>
      </c>
      <c r="M492" t="s">
        <v>23</v>
      </c>
      <c r="N492">
        <v>44593</v>
      </c>
    </row>
    <row r="493" spans="1:14" x14ac:dyDescent="0.35">
      <c r="A493" t="s">
        <v>533</v>
      </c>
      <c r="B493" t="s">
        <v>28</v>
      </c>
      <c r="C493" t="s">
        <v>22</v>
      </c>
      <c r="D493" t="s">
        <v>52</v>
      </c>
      <c r="E493">
        <v>431009</v>
      </c>
      <c r="F493">
        <v>11.01</v>
      </c>
      <c r="G493">
        <v>36</v>
      </c>
      <c r="H493">
        <v>182536</v>
      </c>
      <c r="I493">
        <v>644</v>
      </c>
      <c r="J493" t="s">
        <v>39</v>
      </c>
      <c r="K493">
        <v>21.5</v>
      </c>
      <c r="L493">
        <v>47.6</v>
      </c>
      <c r="M493" t="s">
        <v>23</v>
      </c>
      <c r="N493">
        <v>45400</v>
      </c>
    </row>
    <row r="494" spans="1:14" x14ac:dyDescent="0.35">
      <c r="A494" t="s">
        <v>534</v>
      </c>
      <c r="B494" t="s">
        <v>30</v>
      </c>
      <c r="C494" t="s">
        <v>16</v>
      </c>
      <c r="D494" t="s">
        <v>17</v>
      </c>
      <c r="E494">
        <v>118688</v>
      </c>
      <c r="F494">
        <v>11.08</v>
      </c>
      <c r="G494">
        <v>240</v>
      </c>
      <c r="H494">
        <v>79137</v>
      </c>
      <c r="I494">
        <v>590</v>
      </c>
      <c r="J494" t="s">
        <v>35</v>
      </c>
      <c r="K494">
        <v>11.9</v>
      </c>
      <c r="L494">
        <v>14.7</v>
      </c>
      <c r="M494" t="s">
        <v>48</v>
      </c>
      <c r="N494">
        <v>45278</v>
      </c>
    </row>
    <row r="495" spans="1:14" x14ac:dyDescent="0.35">
      <c r="A495" t="s">
        <v>535</v>
      </c>
      <c r="B495" t="s">
        <v>30</v>
      </c>
      <c r="C495" t="s">
        <v>16</v>
      </c>
      <c r="D495" t="s">
        <v>32</v>
      </c>
      <c r="E495">
        <v>313617</v>
      </c>
      <c r="F495">
        <v>10.53</v>
      </c>
      <c r="G495">
        <v>24</v>
      </c>
      <c r="H495">
        <v>189304</v>
      </c>
      <c r="I495">
        <v>687</v>
      </c>
      <c r="J495" t="s">
        <v>18</v>
      </c>
      <c r="K495">
        <v>24.9</v>
      </c>
      <c r="L495">
        <v>9.9</v>
      </c>
      <c r="M495" t="s">
        <v>19</v>
      </c>
      <c r="N495">
        <v>44656</v>
      </c>
    </row>
    <row r="496" spans="1:14" x14ac:dyDescent="0.35">
      <c r="A496" t="s">
        <v>536</v>
      </c>
      <c r="B496" t="s">
        <v>15</v>
      </c>
      <c r="C496" t="s">
        <v>34</v>
      </c>
      <c r="D496" t="s">
        <v>17</v>
      </c>
      <c r="E496">
        <v>749748</v>
      </c>
      <c r="F496">
        <v>6.31</v>
      </c>
      <c r="G496">
        <v>60</v>
      </c>
      <c r="H496">
        <v>89497</v>
      </c>
      <c r="I496">
        <v>605</v>
      </c>
      <c r="J496" t="s">
        <v>18</v>
      </c>
      <c r="K496">
        <v>17</v>
      </c>
      <c r="L496">
        <v>39.200000000000003</v>
      </c>
      <c r="M496" t="s">
        <v>55</v>
      </c>
      <c r="N496">
        <v>44257</v>
      </c>
    </row>
    <row r="497" spans="1:14" x14ac:dyDescent="0.35">
      <c r="A497" t="s">
        <v>537</v>
      </c>
      <c r="B497" t="s">
        <v>30</v>
      </c>
      <c r="C497" t="s">
        <v>22</v>
      </c>
      <c r="D497" t="s">
        <v>38</v>
      </c>
      <c r="E497">
        <v>495834</v>
      </c>
      <c r="F497">
        <v>4.97</v>
      </c>
      <c r="G497">
        <v>36</v>
      </c>
      <c r="H497">
        <v>128485</v>
      </c>
      <c r="I497">
        <v>730</v>
      </c>
      <c r="J497" t="s">
        <v>18</v>
      </c>
      <c r="K497">
        <v>1.9</v>
      </c>
      <c r="L497">
        <v>18.100000000000001</v>
      </c>
      <c r="M497" t="s">
        <v>23</v>
      </c>
      <c r="N497">
        <v>44565</v>
      </c>
    </row>
    <row r="498" spans="1:14" x14ac:dyDescent="0.35">
      <c r="A498" t="s">
        <v>538</v>
      </c>
      <c r="B498" t="s">
        <v>15</v>
      </c>
      <c r="C498" t="s">
        <v>22</v>
      </c>
      <c r="D498" t="s">
        <v>45</v>
      </c>
      <c r="E498">
        <v>385596</v>
      </c>
      <c r="F498">
        <v>10.39</v>
      </c>
      <c r="G498">
        <v>120</v>
      </c>
      <c r="H498">
        <v>210520</v>
      </c>
      <c r="I498">
        <v>800</v>
      </c>
      <c r="J498" t="s">
        <v>26</v>
      </c>
      <c r="K498">
        <v>24.8</v>
      </c>
      <c r="L498">
        <v>41.2</v>
      </c>
      <c r="M498" t="s">
        <v>23</v>
      </c>
      <c r="N498">
        <v>45341</v>
      </c>
    </row>
    <row r="499" spans="1:14" x14ac:dyDescent="0.35">
      <c r="A499" t="s">
        <v>539</v>
      </c>
      <c r="B499" t="s">
        <v>30</v>
      </c>
      <c r="C499" t="s">
        <v>22</v>
      </c>
      <c r="D499" t="s">
        <v>45</v>
      </c>
      <c r="E499">
        <v>716111</v>
      </c>
      <c r="F499">
        <v>9.9700000000000006</v>
      </c>
      <c r="G499">
        <v>120</v>
      </c>
      <c r="H499">
        <v>133468</v>
      </c>
      <c r="I499">
        <v>816</v>
      </c>
      <c r="J499" t="s">
        <v>26</v>
      </c>
      <c r="K499">
        <v>10.199999999999999</v>
      </c>
      <c r="L499">
        <v>36.200000000000003</v>
      </c>
      <c r="M499" t="s">
        <v>19</v>
      </c>
      <c r="N499">
        <v>44915</v>
      </c>
    </row>
    <row r="500" spans="1:14" x14ac:dyDescent="0.35">
      <c r="A500" t="s">
        <v>540</v>
      </c>
      <c r="B500" t="s">
        <v>21</v>
      </c>
      <c r="C500" t="s">
        <v>16</v>
      </c>
      <c r="D500" t="s">
        <v>38</v>
      </c>
      <c r="E500">
        <v>739275</v>
      </c>
      <c r="F500">
        <v>5.23</v>
      </c>
      <c r="G500">
        <v>60</v>
      </c>
      <c r="H500">
        <v>28901</v>
      </c>
      <c r="I500">
        <v>816</v>
      </c>
      <c r="J500" t="s">
        <v>18</v>
      </c>
      <c r="K500">
        <v>7.2</v>
      </c>
      <c r="L500">
        <v>45.8</v>
      </c>
      <c r="M500" t="s">
        <v>55</v>
      </c>
      <c r="N500">
        <v>44742</v>
      </c>
    </row>
    <row r="501" spans="1:14" x14ac:dyDescent="0.35">
      <c r="A501" t="s">
        <v>541</v>
      </c>
      <c r="B501" t="s">
        <v>110</v>
      </c>
      <c r="C501" t="s">
        <v>16</v>
      </c>
      <c r="D501" t="s">
        <v>32</v>
      </c>
      <c r="E501">
        <v>274150</v>
      </c>
      <c r="F501">
        <v>11.17</v>
      </c>
      <c r="G501">
        <v>48</v>
      </c>
      <c r="H501">
        <v>115980</v>
      </c>
      <c r="I501">
        <v>798</v>
      </c>
      <c r="J501" t="s">
        <v>18</v>
      </c>
      <c r="K501">
        <v>13.9</v>
      </c>
      <c r="L501">
        <v>24.4</v>
      </c>
      <c r="M501" t="s">
        <v>23</v>
      </c>
      <c r="N501">
        <v>45237</v>
      </c>
    </row>
    <row r="502" spans="1:14" x14ac:dyDescent="0.35">
      <c r="A502" t="s">
        <v>542</v>
      </c>
      <c r="B502" t="s">
        <v>28</v>
      </c>
      <c r="C502" t="s">
        <v>22</v>
      </c>
      <c r="D502" t="s">
        <v>73</v>
      </c>
      <c r="E502">
        <v>254243</v>
      </c>
      <c r="F502">
        <v>8.34</v>
      </c>
      <c r="G502">
        <v>120</v>
      </c>
      <c r="H502">
        <v>135594</v>
      </c>
      <c r="I502">
        <v>730</v>
      </c>
      <c r="J502" t="s">
        <v>26</v>
      </c>
      <c r="K502">
        <v>7.6</v>
      </c>
      <c r="L502">
        <v>34.5</v>
      </c>
      <c r="M502" t="s">
        <v>55</v>
      </c>
      <c r="N502">
        <v>44692</v>
      </c>
    </row>
    <row r="503" spans="1:14" x14ac:dyDescent="0.35">
      <c r="A503" t="s">
        <v>543</v>
      </c>
      <c r="B503" t="s">
        <v>15</v>
      </c>
      <c r="C503" t="s">
        <v>34</v>
      </c>
      <c r="D503" t="s">
        <v>32</v>
      </c>
      <c r="E503">
        <v>603506</v>
      </c>
      <c r="F503">
        <v>10.75</v>
      </c>
      <c r="G503">
        <v>48</v>
      </c>
      <c r="H503">
        <v>30881</v>
      </c>
      <c r="I503">
        <v>702</v>
      </c>
      <c r="J503" t="s">
        <v>18</v>
      </c>
      <c r="K503">
        <v>2.2000000000000002</v>
      </c>
      <c r="L503">
        <v>26.6</v>
      </c>
      <c r="M503" t="s">
        <v>19</v>
      </c>
      <c r="N503">
        <v>44693</v>
      </c>
    </row>
    <row r="504" spans="1:14" x14ac:dyDescent="0.35">
      <c r="A504" t="s">
        <v>544</v>
      </c>
      <c r="B504" t="s">
        <v>30</v>
      </c>
      <c r="C504" t="s">
        <v>22</v>
      </c>
      <c r="D504" t="s">
        <v>17</v>
      </c>
      <c r="E504">
        <v>201416</v>
      </c>
      <c r="F504">
        <v>12.66</v>
      </c>
      <c r="G504">
        <v>48</v>
      </c>
      <c r="H504">
        <v>57863</v>
      </c>
      <c r="I504">
        <v>723</v>
      </c>
      <c r="J504" t="s">
        <v>18</v>
      </c>
      <c r="K504">
        <v>0</v>
      </c>
      <c r="L504">
        <v>33.200000000000003</v>
      </c>
      <c r="M504" t="s">
        <v>23</v>
      </c>
      <c r="N504">
        <v>44701</v>
      </c>
    </row>
    <row r="505" spans="1:14" x14ac:dyDescent="0.35">
      <c r="A505" t="s">
        <v>545</v>
      </c>
      <c r="B505" t="s">
        <v>25</v>
      </c>
      <c r="C505" t="s">
        <v>16</v>
      </c>
      <c r="D505" t="s">
        <v>45</v>
      </c>
      <c r="E505">
        <v>561718</v>
      </c>
      <c r="F505">
        <v>5.12</v>
      </c>
      <c r="G505">
        <v>240</v>
      </c>
      <c r="H505">
        <v>164694</v>
      </c>
      <c r="I505">
        <v>768</v>
      </c>
      <c r="J505" t="s">
        <v>26</v>
      </c>
      <c r="K505">
        <v>11.2</v>
      </c>
      <c r="L505">
        <v>26</v>
      </c>
      <c r="M505" t="s">
        <v>23</v>
      </c>
      <c r="N505">
        <v>45165</v>
      </c>
    </row>
    <row r="506" spans="1:14" x14ac:dyDescent="0.35">
      <c r="A506" t="s">
        <v>546</v>
      </c>
      <c r="B506" t="s">
        <v>28</v>
      </c>
      <c r="C506" t="s">
        <v>16</v>
      </c>
      <c r="D506" t="s">
        <v>38</v>
      </c>
      <c r="E506">
        <v>28091</v>
      </c>
      <c r="F506">
        <v>3.42</v>
      </c>
      <c r="G506">
        <v>48</v>
      </c>
      <c r="H506">
        <v>160450</v>
      </c>
      <c r="I506">
        <v>834</v>
      </c>
      <c r="J506" t="s">
        <v>18</v>
      </c>
      <c r="K506">
        <v>20.9</v>
      </c>
      <c r="L506">
        <v>15.5</v>
      </c>
      <c r="M506" t="s">
        <v>23</v>
      </c>
      <c r="N506">
        <v>45535</v>
      </c>
    </row>
    <row r="507" spans="1:14" x14ac:dyDescent="0.35">
      <c r="A507" t="s">
        <v>547</v>
      </c>
      <c r="B507" t="s">
        <v>30</v>
      </c>
      <c r="C507" t="s">
        <v>34</v>
      </c>
      <c r="D507" t="s">
        <v>17</v>
      </c>
      <c r="E507">
        <v>553277</v>
      </c>
      <c r="F507">
        <v>12</v>
      </c>
      <c r="G507">
        <v>12</v>
      </c>
      <c r="H507">
        <v>73201</v>
      </c>
      <c r="I507">
        <v>647</v>
      </c>
      <c r="J507" t="s">
        <v>18</v>
      </c>
      <c r="K507">
        <v>14.3</v>
      </c>
      <c r="L507">
        <v>28.3</v>
      </c>
      <c r="M507" t="s">
        <v>19</v>
      </c>
      <c r="N507">
        <v>45289</v>
      </c>
    </row>
    <row r="508" spans="1:14" x14ac:dyDescent="0.35">
      <c r="A508" t="s">
        <v>548</v>
      </c>
      <c r="B508" t="s">
        <v>83</v>
      </c>
      <c r="C508" t="s">
        <v>16</v>
      </c>
      <c r="D508" t="s">
        <v>43</v>
      </c>
      <c r="E508">
        <v>80451</v>
      </c>
      <c r="F508">
        <v>10.09</v>
      </c>
      <c r="G508">
        <v>240</v>
      </c>
      <c r="H508">
        <v>87251</v>
      </c>
      <c r="I508">
        <v>683</v>
      </c>
      <c r="J508" t="s">
        <v>26</v>
      </c>
      <c r="K508">
        <v>25</v>
      </c>
      <c r="L508">
        <v>29.1</v>
      </c>
      <c r="M508" t="s">
        <v>23</v>
      </c>
      <c r="N508">
        <v>44357</v>
      </c>
    </row>
    <row r="509" spans="1:14" x14ac:dyDescent="0.35">
      <c r="A509" t="s">
        <v>549</v>
      </c>
      <c r="B509" t="s">
        <v>25</v>
      </c>
      <c r="C509" t="s">
        <v>34</v>
      </c>
      <c r="D509" t="s">
        <v>73</v>
      </c>
      <c r="E509">
        <v>23990</v>
      </c>
      <c r="F509">
        <v>11.11</v>
      </c>
      <c r="G509">
        <v>36</v>
      </c>
      <c r="H509">
        <v>100572</v>
      </c>
      <c r="I509">
        <v>738</v>
      </c>
      <c r="J509" t="s">
        <v>26</v>
      </c>
      <c r="K509">
        <v>7.2</v>
      </c>
      <c r="L509">
        <v>40.4</v>
      </c>
      <c r="M509" t="s">
        <v>23</v>
      </c>
      <c r="N509">
        <v>44914</v>
      </c>
    </row>
    <row r="510" spans="1:14" x14ac:dyDescent="0.35">
      <c r="A510" t="s">
        <v>550</v>
      </c>
      <c r="B510" t="s">
        <v>71</v>
      </c>
      <c r="C510" t="s">
        <v>22</v>
      </c>
      <c r="D510" t="s">
        <v>17</v>
      </c>
      <c r="E510">
        <v>357414</v>
      </c>
      <c r="F510">
        <v>12.67</v>
      </c>
      <c r="G510">
        <v>36</v>
      </c>
      <c r="H510">
        <v>67255</v>
      </c>
      <c r="I510">
        <v>669</v>
      </c>
      <c r="J510" t="s">
        <v>18</v>
      </c>
      <c r="K510">
        <v>7</v>
      </c>
      <c r="L510">
        <v>37.4</v>
      </c>
      <c r="M510" t="s">
        <v>55</v>
      </c>
      <c r="N510">
        <v>45365</v>
      </c>
    </row>
    <row r="511" spans="1:14" x14ac:dyDescent="0.35">
      <c r="A511" t="s">
        <v>551</v>
      </c>
      <c r="B511" t="s">
        <v>28</v>
      </c>
      <c r="C511" t="s">
        <v>34</v>
      </c>
      <c r="D511" t="s">
        <v>52</v>
      </c>
      <c r="E511">
        <v>255541</v>
      </c>
      <c r="F511">
        <v>12.27</v>
      </c>
      <c r="G511">
        <v>120</v>
      </c>
      <c r="H511">
        <v>91212</v>
      </c>
      <c r="I511">
        <v>835</v>
      </c>
      <c r="J511" t="s">
        <v>39</v>
      </c>
      <c r="K511">
        <v>4</v>
      </c>
      <c r="L511">
        <v>34.6</v>
      </c>
      <c r="M511" t="s">
        <v>23</v>
      </c>
      <c r="N511">
        <v>45189</v>
      </c>
    </row>
    <row r="512" spans="1:14" x14ac:dyDescent="0.35">
      <c r="A512" t="s">
        <v>552</v>
      </c>
      <c r="B512" t="s">
        <v>28</v>
      </c>
      <c r="C512" t="s">
        <v>22</v>
      </c>
      <c r="D512" t="s">
        <v>17</v>
      </c>
      <c r="E512">
        <v>671393</v>
      </c>
      <c r="F512">
        <v>14.06</v>
      </c>
      <c r="G512">
        <v>120</v>
      </c>
      <c r="H512">
        <v>78210</v>
      </c>
      <c r="I512">
        <v>799</v>
      </c>
      <c r="J512" t="s">
        <v>18</v>
      </c>
      <c r="K512">
        <v>4.0999999999999996</v>
      </c>
      <c r="L512">
        <v>12.5</v>
      </c>
      <c r="M512" t="s">
        <v>23</v>
      </c>
      <c r="N512">
        <v>45605</v>
      </c>
    </row>
    <row r="513" spans="1:14" x14ac:dyDescent="0.35">
      <c r="A513" t="s">
        <v>553</v>
      </c>
      <c r="B513" t="s">
        <v>15</v>
      </c>
      <c r="C513" t="s">
        <v>34</v>
      </c>
      <c r="D513" t="s">
        <v>17</v>
      </c>
      <c r="E513">
        <v>375416</v>
      </c>
      <c r="F513">
        <v>9.26</v>
      </c>
      <c r="G513">
        <v>48</v>
      </c>
      <c r="H513">
        <v>153629</v>
      </c>
      <c r="I513">
        <v>588</v>
      </c>
      <c r="J513" t="s">
        <v>26</v>
      </c>
      <c r="K513">
        <v>7.1</v>
      </c>
      <c r="L513">
        <v>36.799999999999997</v>
      </c>
      <c r="M513" t="s">
        <v>23</v>
      </c>
      <c r="N513">
        <v>44465</v>
      </c>
    </row>
    <row r="514" spans="1:14" x14ac:dyDescent="0.35">
      <c r="A514" t="s">
        <v>554</v>
      </c>
      <c r="B514" t="s">
        <v>71</v>
      </c>
      <c r="C514" t="s">
        <v>16</v>
      </c>
      <c r="D514" t="s">
        <v>17</v>
      </c>
      <c r="E514">
        <v>129932</v>
      </c>
      <c r="F514">
        <v>8.7200000000000006</v>
      </c>
      <c r="G514">
        <v>240</v>
      </c>
      <c r="H514">
        <v>50499</v>
      </c>
      <c r="I514">
        <v>591</v>
      </c>
      <c r="J514" t="s">
        <v>18</v>
      </c>
      <c r="K514">
        <v>19.8</v>
      </c>
      <c r="L514">
        <v>28</v>
      </c>
      <c r="M514" t="s">
        <v>23</v>
      </c>
      <c r="N514">
        <v>44895</v>
      </c>
    </row>
    <row r="515" spans="1:14" x14ac:dyDescent="0.35">
      <c r="A515" t="s">
        <v>555</v>
      </c>
      <c r="B515" t="s">
        <v>37</v>
      </c>
      <c r="C515" t="s">
        <v>34</v>
      </c>
      <c r="D515" t="s">
        <v>73</v>
      </c>
      <c r="E515">
        <v>273083</v>
      </c>
      <c r="F515">
        <v>7.74</v>
      </c>
      <c r="G515">
        <v>240</v>
      </c>
      <c r="H515">
        <v>130552</v>
      </c>
      <c r="I515">
        <v>823</v>
      </c>
      <c r="J515" t="s">
        <v>39</v>
      </c>
      <c r="K515">
        <v>22.6</v>
      </c>
      <c r="L515">
        <v>43.8</v>
      </c>
      <c r="M515" t="s">
        <v>19</v>
      </c>
      <c r="N515">
        <v>45061</v>
      </c>
    </row>
    <row r="516" spans="1:14" x14ac:dyDescent="0.35">
      <c r="A516" t="s">
        <v>556</v>
      </c>
      <c r="B516" t="s">
        <v>30</v>
      </c>
      <c r="C516" t="s">
        <v>22</v>
      </c>
      <c r="D516" t="s">
        <v>45</v>
      </c>
      <c r="E516">
        <v>118000</v>
      </c>
      <c r="F516">
        <v>4.9400000000000004</v>
      </c>
      <c r="G516">
        <v>12</v>
      </c>
      <c r="H516">
        <v>210700</v>
      </c>
      <c r="I516">
        <v>761</v>
      </c>
      <c r="J516" t="s">
        <v>39</v>
      </c>
      <c r="K516">
        <v>24.4</v>
      </c>
      <c r="L516">
        <v>44.8</v>
      </c>
      <c r="M516" t="s">
        <v>23</v>
      </c>
      <c r="N516">
        <v>44546</v>
      </c>
    </row>
    <row r="517" spans="1:14" x14ac:dyDescent="0.35">
      <c r="A517" t="s">
        <v>557</v>
      </c>
      <c r="B517" t="s">
        <v>30</v>
      </c>
      <c r="C517" t="s">
        <v>16</v>
      </c>
      <c r="D517" t="s">
        <v>17</v>
      </c>
      <c r="E517">
        <v>707922</v>
      </c>
      <c r="F517">
        <v>9.67</v>
      </c>
      <c r="G517">
        <v>48</v>
      </c>
      <c r="H517">
        <v>89360</v>
      </c>
      <c r="I517">
        <v>678</v>
      </c>
      <c r="J517" t="s">
        <v>18</v>
      </c>
      <c r="K517">
        <v>5.8</v>
      </c>
      <c r="L517">
        <v>10.199999999999999</v>
      </c>
      <c r="M517" t="s">
        <v>19</v>
      </c>
      <c r="N517">
        <v>44306</v>
      </c>
    </row>
    <row r="518" spans="1:14" x14ac:dyDescent="0.35">
      <c r="A518" t="s">
        <v>558</v>
      </c>
      <c r="B518" t="s">
        <v>15</v>
      </c>
      <c r="C518" t="s">
        <v>16</v>
      </c>
      <c r="D518" t="s">
        <v>32</v>
      </c>
      <c r="E518">
        <v>564351</v>
      </c>
      <c r="F518">
        <v>6.33</v>
      </c>
      <c r="G518">
        <v>12</v>
      </c>
      <c r="H518">
        <v>163675</v>
      </c>
      <c r="I518">
        <v>776</v>
      </c>
      <c r="J518" t="s">
        <v>39</v>
      </c>
      <c r="K518">
        <v>22</v>
      </c>
      <c r="L518">
        <v>40.799999999999997</v>
      </c>
      <c r="M518" t="s">
        <v>19</v>
      </c>
      <c r="N518">
        <v>44603</v>
      </c>
    </row>
    <row r="519" spans="1:14" x14ac:dyDescent="0.35">
      <c r="A519" t="s">
        <v>559</v>
      </c>
      <c r="B519" t="s">
        <v>25</v>
      </c>
      <c r="C519" t="s">
        <v>16</v>
      </c>
      <c r="D519" t="s">
        <v>45</v>
      </c>
      <c r="E519">
        <v>498216</v>
      </c>
      <c r="F519">
        <v>13.61</v>
      </c>
      <c r="G519">
        <v>300</v>
      </c>
      <c r="H519">
        <v>155466</v>
      </c>
      <c r="I519">
        <v>805</v>
      </c>
      <c r="J519" t="s">
        <v>26</v>
      </c>
      <c r="K519">
        <v>8.1999999999999993</v>
      </c>
      <c r="L519">
        <v>9.5</v>
      </c>
      <c r="M519" t="s">
        <v>23</v>
      </c>
      <c r="N519">
        <v>44846</v>
      </c>
    </row>
    <row r="520" spans="1:14" x14ac:dyDescent="0.35">
      <c r="A520" t="s">
        <v>560</v>
      </c>
      <c r="B520" t="s">
        <v>110</v>
      </c>
      <c r="C520" t="s">
        <v>22</v>
      </c>
      <c r="D520" t="s">
        <v>17</v>
      </c>
      <c r="E520">
        <v>737081</v>
      </c>
      <c r="F520">
        <v>9.7899999999999991</v>
      </c>
      <c r="G520">
        <v>48</v>
      </c>
      <c r="H520">
        <v>113473</v>
      </c>
      <c r="I520">
        <v>682</v>
      </c>
      <c r="J520" t="s">
        <v>26</v>
      </c>
      <c r="K520">
        <v>2.8</v>
      </c>
      <c r="L520">
        <v>22.7</v>
      </c>
      <c r="M520" t="s">
        <v>23</v>
      </c>
      <c r="N520">
        <v>44247</v>
      </c>
    </row>
    <row r="521" spans="1:14" x14ac:dyDescent="0.35">
      <c r="A521" t="s">
        <v>561</v>
      </c>
      <c r="B521" t="s">
        <v>30</v>
      </c>
      <c r="C521" t="s">
        <v>22</v>
      </c>
      <c r="D521" t="s">
        <v>43</v>
      </c>
      <c r="E521">
        <v>687405</v>
      </c>
      <c r="F521">
        <v>9.9</v>
      </c>
      <c r="G521">
        <v>24</v>
      </c>
      <c r="H521">
        <v>171704</v>
      </c>
      <c r="I521">
        <v>685</v>
      </c>
      <c r="J521" t="s">
        <v>18</v>
      </c>
      <c r="K521">
        <v>21.8</v>
      </c>
      <c r="L521">
        <v>29.7</v>
      </c>
      <c r="M521" t="s">
        <v>23</v>
      </c>
      <c r="N521">
        <v>45623</v>
      </c>
    </row>
    <row r="522" spans="1:14" x14ac:dyDescent="0.35">
      <c r="A522" t="s">
        <v>562</v>
      </c>
      <c r="B522" t="s">
        <v>28</v>
      </c>
      <c r="C522" t="s">
        <v>22</v>
      </c>
      <c r="D522" t="s">
        <v>38</v>
      </c>
      <c r="E522">
        <v>514850</v>
      </c>
      <c r="F522">
        <v>7.21</v>
      </c>
      <c r="G522">
        <v>24</v>
      </c>
      <c r="H522">
        <v>189679</v>
      </c>
      <c r="I522">
        <v>637</v>
      </c>
      <c r="J522" t="s">
        <v>26</v>
      </c>
      <c r="K522">
        <v>15.9</v>
      </c>
      <c r="L522">
        <v>13.9</v>
      </c>
      <c r="M522" t="s">
        <v>23</v>
      </c>
      <c r="N522">
        <v>45307</v>
      </c>
    </row>
    <row r="523" spans="1:14" x14ac:dyDescent="0.35">
      <c r="A523" t="s">
        <v>563</v>
      </c>
      <c r="B523" t="s">
        <v>15</v>
      </c>
      <c r="C523" t="s">
        <v>22</v>
      </c>
      <c r="D523" t="s">
        <v>32</v>
      </c>
      <c r="E523">
        <v>442985</v>
      </c>
      <c r="F523">
        <v>3.79</v>
      </c>
      <c r="G523">
        <v>60</v>
      </c>
      <c r="H523">
        <v>119873</v>
      </c>
      <c r="I523">
        <v>657</v>
      </c>
      <c r="J523" t="s">
        <v>39</v>
      </c>
      <c r="K523">
        <v>4.0999999999999996</v>
      </c>
      <c r="L523">
        <v>37.9</v>
      </c>
      <c r="M523" t="s">
        <v>19</v>
      </c>
      <c r="N523">
        <v>45288</v>
      </c>
    </row>
    <row r="524" spans="1:14" x14ac:dyDescent="0.35">
      <c r="A524" t="s">
        <v>564</v>
      </c>
      <c r="B524" t="s">
        <v>21</v>
      </c>
      <c r="C524" t="s">
        <v>34</v>
      </c>
      <c r="D524" t="s">
        <v>52</v>
      </c>
      <c r="E524">
        <v>89703</v>
      </c>
      <c r="F524">
        <v>3.56</v>
      </c>
      <c r="G524">
        <v>48</v>
      </c>
      <c r="H524">
        <v>93756</v>
      </c>
      <c r="I524">
        <v>654</v>
      </c>
      <c r="J524" t="s">
        <v>18</v>
      </c>
      <c r="K524">
        <v>10.7</v>
      </c>
      <c r="L524">
        <v>8.3000000000000007</v>
      </c>
      <c r="M524" t="s">
        <v>19</v>
      </c>
      <c r="N524">
        <v>44792</v>
      </c>
    </row>
    <row r="525" spans="1:14" x14ac:dyDescent="0.35">
      <c r="A525" t="s">
        <v>565</v>
      </c>
      <c r="B525" t="s">
        <v>25</v>
      </c>
      <c r="C525" t="s">
        <v>22</v>
      </c>
      <c r="D525" t="s">
        <v>32</v>
      </c>
      <c r="E525">
        <v>500164</v>
      </c>
      <c r="F525">
        <v>7.98</v>
      </c>
      <c r="G525">
        <v>240</v>
      </c>
      <c r="H525">
        <v>206066</v>
      </c>
      <c r="I525">
        <v>621</v>
      </c>
      <c r="J525" t="s">
        <v>39</v>
      </c>
      <c r="K525">
        <v>7.2</v>
      </c>
      <c r="L525">
        <v>14.7</v>
      </c>
      <c r="M525" t="s">
        <v>23</v>
      </c>
      <c r="N525">
        <v>45175</v>
      </c>
    </row>
    <row r="526" spans="1:14" x14ac:dyDescent="0.35">
      <c r="A526" t="s">
        <v>566</v>
      </c>
      <c r="B526" t="s">
        <v>25</v>
      </c>
      <c r="C526" t="s">
        <v>34</v>
      </c>
      <c r="D526" t="s">
        <v>52</v>
      </c>
      <c r="E526">
        <v>419841</v>
      </c>
      <c r="F526">
        <v>4.16</v>
      </c>
      <c r="G526">
        <v>120</v>
      </c>
      <c r="H526">
        <v>84344</v>
      </c>
      <c r="I526">
        <v>760</v>
      </c>
      <c r="J526" t="s">
        <v>18</v>
      </c>
      <c r="K526">
        <v>18.399999999999999</v>
      </c>
      <c r="L526">
        <v>31.2</v>
      </c>
      <c r="M526" t="s">
        <v>23</v>
      </c>
      <c r="N526">
        <v>45262</v>
      </c>
    </row>
    <row r="527" spans="1:14" x14ac:dyDescent="0.35">
      <c r="A527" t="s">
        <v>567</v>
      </c>
      <c r="B527" t="s">
        <v>15</v>
      </c>
      <c r="C527" t="s">
        <v>22</v>
      </c>
      <c r="D527" t="s">
        <v>45</v>
      </c>
      <c r="E527">
        <v>657845</v>
      </c>
      <c r="F527">
        <v>10.06</v>
      </c>
      <c r="G527">
        <v>36</v>
      </c>
      <c r="H527">
        <v>212847</v>
      </c>
      <c r="I527">
        <v>612</v>
      </c>
      <c r="J527" t="s">
        <v>18</v>
      </c>
      <c r="K527">
        <v>11.3</v>
      </c>
      <c r="L527">
        <v>36.6</v>
      </c>
      <c r="M527" t="s">
        <v>23</v>
      </c>
      <c r="N527">
        <v>44927</v>
      </c>
    </row>
    <row r="528" spans="1:14" x14ac:dyDescent="0.35">
      <c r="A528" t="s">
        <v>568</v>
      </c>
      <c r="B528" t="s">
        <v>15</v>
      </c>
      <c r="C528" t="s">
        <v>22</v>
      </c>
      <c r="D528" t="s">
        <v>45</v>
      </c>
      <c r="E528">
        <v>294220</v>
      </c>
      <c r="F528">
        <v>13.15</v>
      </c>
      <c r="G528">
        <v>60</v>
      </c>
      <c r="H528">
        <v>166421</v>
      </c>
      <c r="I528">
        <v>650</v>
      </c>
      <c r="J528" t="s">
        <v>18</v>
      </c>
      <c r="K528">
        <v>24.7</v>
      </c>
      <c r="L528">
        <v>44.7</v>
      </c>
      <c r="M528" t="s">
        <v>19</v>
      </c>
      <c r="N528">
        <v>44253</v>
      </c>
    </row>
    <row r="529" spans="1:14" x14ac:dyDescent="0.35">
      <c r="A529" t="s">
        <v>569</v>
      </c>
      <c r="B529" t="s">
        <v>30</v>
      </c>
      <c r="C529" t="s">
        <v>16</v>
      </c>
      <c r="D529" t="s">
        <v>17</v>
      </c>
      <c r="E529">
        <v>258317</v>
      </c>
      <c r="F529">
        <v>13.18</v>
      </c>
      <c r="G529">
        <v>120</v>
      </c>
      <c r="H529">
        <v>99154</v>
      </c>
      <c r="I529">
        <v>635</v>
      </c>
      <c r="J529" t="s">
        <v>18</v>
      </c>
      <c r="K529">
        <v>1.4</v>
      </c>
      <c r="L529">
        <v>36.200000000000003</v>
      </c>
      <c r="M529" t="s">
        <v>23</v>
      </c>
      <c r="N529">
        <v>44934</v>
      </c>
    </row>
    <row r="530" spans="1:14" x14ac:dyDescent="0.35">
      <c r="A530" t="s">
        <v>570</v>
      </c>
      <c r="B530" t="s">
        <v>30</v>
      </c>
      <c r="C530" t="s">
        <v>16</v>
      </c>
      <c r="D530" t="s">
        <v>43</v>
      </c>
      <c r="E530">
        <v>200877</v>
      </c>
      <c r="F530">
        <v>10.65</v>
      </c>
      <c r="G530">
        <v>24</v>
      </c>
      <c r="H530">
        <v>55464</v>
      </c>
      <c r="I530">
        <v>684</v>
      </c>
      <c r="J530" t="s">
        <v>26</v>
      </c>
      <c r="K530">
        <v>8.9</v>
      </c>
      <c r="L530">
        <v>34.9</v>
      </c>
      <c r="M530" t="s">
        <v>23</v>
      </c>
      <c r="N530">
        <v>44392</v>
      </c>
    </row>
    <row r="531" spans="1:14" x14ac:dyDescent="0.35">
      <c r="A531" t="s">
        <v>571</v>
      </c>
      <c r="B531" t="s">
        <v>37</v>
      </c>
      <c r="C531" t="s">
        <v>22</v>
      </c>
      <c r="D531" t="s">
        <v>32</v>
      </c>
      <c r="E531">
        <v>351709</v>
      </c>
      <c r="F531">
        <v>5.59</v>
      </c>
      <c r="G531">
        <v>48</v>
      </c>
      <c r="H531">
        <v>201696</v>
      </c>
      <c r="I531">
        <v>779</v>
      </c>
      <c r="J531" t="s">
        <v>18</v>
      </c>
      <c r="K531">
        <v>12</v>
      </c>
      <c r="L531">
        <v>23.8</v>
      </c>
      <c r="M531" t="s">
        <v>23</v>
      </c>
      <c r="N531">
        <v>45282</v>
      </c>
    </row>
    <row r="532" spans="1:14" x14ac:dyDescent="0.35">
      <c r="A532" t="s">
        <v>572</v>
      </c>
      <c r="B532" t="s">
        <v>25</v>
      </c>
      <c r="C532" t="s">
        <v>16</v>
      </c>
      <c r="D532" t="s">
        <v>17</v>
      </c>
      <c r="E532">
        <v>486725</v>
      </c>
      <c r="F532">
        <v>12.95</v>
      </c>
      <c r="G532">
        <v>60</v>
      </c>
      <c r="H532">
        <v>149897</v>
      </c>
      <c r="I532">
        <v>680</v>
      </c>
      <c r="J532" t="s">
        <v>35</v>
      </c>
      <c r="K532">
        <v>12.6</v>
      </c>
      <c r="L532">
        <v>8.1</v>
      </c>
      <c r="M532" t="s">
        <v>19</v>
      </c>
      <c r="N532">
        <v>45483</v>
      </c>
    </row>
    <row r="533" spans="1:14" x14ac:dyDescent="0.35">
      <c r="A533" t="s">
        <v>573</v>
      </c>
      <c r="B533" t="s">
        <v>303</v>
      </c>
      <c r="C533" t="s">
        <v>16</v>
      </c>
      <c r="D533" t="s">
        <v>17</v>
      </c>
      <c r="E533">
        <v>572597</v>
      </c>
      <c r="F533">
        <v>13.21</v>
      </c>
      <c r="G533">
        <v>48</v>
      </c>
      <c r="H533">
        <v>65344</v>
      </c>
      <c r="I533">
        <v>835</v>
      </c>
      <c r="J533" t="s">
        <v>18</v>
      </c>
      <c r="K533">
        <v>7.9</v>
      </c>
      <c r="L533">
        <v>12.8</v>
      </c>
      <c r="M533" t="s">
        <v>55</v>
      </c>
      <c r="N533">
        <v>44308</v>
      </c>
    </row>
    <row r="534" spans="1:14" x14ac:dyDescent="0.35">
      <c r="A534" t="s">
        <v>574</v>
      </c>
      <c r="B534" t="s">
        <v>303</v>
      </c>
      <c r="C534" t="s">
        <v>22</v>
      </c>
      <c r="D534" t="s">
        <v>32</v>
      </c>
      <c r="E534">
        <v>442470</v>
      </c>
      <c r="F534">
        <v>5.42</v>
      </c>
      <c r="G534">
        <v>24</v>
      </c>
      <c r="H534">
        <v>111791</v>
      </c>
      <c r="I534">
        <v>653</v>
      </c>
      <c r="J534" t="s">
        <v>18</v>
      </c>
      <c r="K534">
        <v>18.2</v>
      </c>
      <c r="L534">
        <v>29.4</v>
      </c>
      <c r="M534" t="s">
        <v>23</v>
      </c>
      <c r="N534">
        <v>44961</v>
      </c>
    </row>
    <row r="535" spans="1:14" x14ac:dyDescent="0.35">
      <c r="A535" t="s">
        <v>575</v>
      </c>
      <c r="B535" t="s">
        <v>15</v>
      </c>
      <c r="C535" t="s">
        <v>34</v>
      </c>
      <c r="D535" t="s">
        <v>32</v>
      </c>
      <c r="E535">
        <v>363402</v>
      </c>
      <c r="F535">
        <v>11.53</v>
      </c>
      <c r="G535">
        <v>60</v>
      </c>
      <c r="H535">
        <v>183371</v>
      </c>
      <c r="I535">
        <v>750</v>
      </c>
      <c r="J535" t="s">
        <v>18</v>
      </c>
      <c r="K535">
        <v>21.9</v>
      </c>
      <c r="L535">
        <v>35</v>
      </c>
      <c r="M535" t="s">
        <v>23</v>
      </c>
      <c r="N535">
        <v>44907</v>
      </c>
    </row>
    <row r="536" spans="1:14" x14ac:dyDescent="0.35">
      <c r="A536" t="s">
        <v>576</v>
      </c>
      <c r="B536" t="s">
        <v>25</v>
      </c>
      <c r="C536" t="s">
        <v>34</v>
      </c>
      <c r="D536" t="s">
        <v>38</v>
      </c>
      <c r="E536">
        <v>572815</v>
      </c>
      <c r="F536">
        <v>6.44</v>
      </c>
      <c r="G536">
        <v>24</v>
      </c>
      <c r="H536">
        <v>207047</v>
      </c>
      <c r="I536">
        <v>722</v>
      </c>
      <c r="J536" t="s">
        <v>18</v>
      </c>
      <c r="K536">
        <v>23.5</v>
      </c>
      <c r="L536">
        <v>24.7</v>
      </c>
      <c r="M536" t="s">
        <v>48</v>
      </c>
      <c r="N536">
        <v>45398</v>
      </c>
    </row>
    <row r="537" spans="1:14" x14ac:dyDescent="0.35">
      <c r="A537" t="s">
        <v>577</v>
      </c>
      <c r="B537" t="s">
        <v>71</v>
      </c>
      <c r="C537" t="s">
        <v>16</v>
      </c>
      <c r="D537" t="s">
        <v>73</v>
      </c>
      <c r="E537">
        <v>144883</v>
      </c>
      <c r="F537">
        <v>12.27</v>
      </c>
      <c r="G537">
        <v>12</v>
      </c>
      <c r="H537">
        <v>160534</v>
      </c>
      <c r="I537">
        <v>745</v>
      </c>
      <c r="J537" t="s">
        <v>39</v>
      </c>
      <c r="K537">
        <v>20.100000000000001</v>
      </c>
      <c r="L537">
        <v>37.200000000000003</v>
      </c>
      <c r="M537" t="s">
        <v>23</v>
      </c>
      <c r="N537">
        <v>45144</v>
      </c>
    </row>
    <row r="538" spans="1:14" x14ac:dyDescent="0.35">
      <c r="A538" t="s">
        <v>578</v>
      </c>
      <c r="B538" t="s">
        <v>25</v>
      </c>
      <c r="C538" t="s">
        <v>22</v>
      </c>
      <c r="D538" t="s">
        <v>17</v>
      </c>
      <c r="E538">
        <v>622632</v>
      </c>
      <c r="F538">
        <v>14.47</v>
      </c>
      <c r="G538">
        <v>24</v>
      </c>
      <c r="H538">
        <v>148209</v>
      </c>
      <c r="I538">
        <v>840</v>
      </c>
      <c r="J538" t="s">
        <v>26</v>
      </c>
      <c r="K538">
        <v>21.3</v>
      </c>
      <c r="L538">
        <v>28.9</v>
      </c>
      <c r="M538" t="s">
        <v>19</v>
      </c>
      <c r="N538">
        <v>44222</v>
      </c>
    </row>
    <row r="539" spans="1:14" x14ac:dyDescent="0.35">
      <c r="A539" t="s">
        <v>579</v>
      </c>
      <c r="B539" t="s">
        <v>30</v>
      </c>
      <c r="C539" t="s">
        <v>16</v>
      </c>
      <c r="D539" t="s">
        <v>38</v>
      </c>
      <c r="E539">
        <v>160344</v>
      </c>
      <c r="F539">
        <v>3.54</v>
      </c>
      <c r="G539">
        <v>240</v>
      </c>
      <c r="H539">
        <v>109441</v>
      </c>
      <c r="I539">
        <v>800</v>
      </c>
      <c r="J539" t="s">
        <v>26</v>
      </c>
      <c r="K539">
        <v>13.8</v>
      </c>
      <c r="L539">
        <v>11</v>
      </c>
      <c r="M539" t="s">
        <v>23</v>
      </c>
      <c r="N539">
        <v>44606</v>
      </c>
    </row>
    <row r="540" spans="1:14" x14ac:dyDescent="0.35">
      <c r="A540" t="s">
        <v>580</v>
      </c>
      <c r="B540" t="s">
        <v>15</v>
      </c>
      <c r="C540" t="s">
        <v>22</v>
      </c>
      <c r="D540" t="s">
        <v>17</v>
      </c>
      <c r="E540">
        <v>470226</v>
      </c>
      <c r="F540">
        <v>13.34</v>
      </c>
      <c r="G540">
        <v>240</v>
      </c>
      <c r="H540">
        <v>118456</v>
      </c>
      <c r="I540">
        <v>662</v>
      </c>
      <c r="J540" t="s">
        <v>18</v>
      </c>
      <c r="K540">
        <v>20.6</v>
      </c>
      <c r="L540">
        <v>15.7</v>
      </c>
      <c r="M540" t="s">
        <v>19</v>
      </c>
      <c r="N540">
        <v>44954</v>
      </c>
    </row>
    <row r="541" spans="1:14" x14ac:dyDescent="0.35">
      <c r="A541" t="s">
        <v>581</v>
      </c>
      <c r="B541" t="s">
        <v>30</v>
      </c>
      <c r="C541" t="s">
        <v>22</v>
      </c>
      <c r="D541" t="s">
        <v>43</v>
      </c>
      <c r="E541">
        <v>576441</v>
      </c>
      <c r="F541">
        <v>10.24</v>
      </c>
      <c r="G541">
        <v>48</v>
      </c>
      <c r="H541">
        <v>109788</v>
      </c>
      <c r="I541">
        <v>761</v>
      </c>
      <c r="J541" t="s">
        <v>18</v>
      </c>
      <c r="K541">
        <v>7.6</v>
      </c>
      <c r="L541">
        <v>41.6</v>
      </c>
      <c r="M541" t="s">
        <v>23</v>
      </c>
      <c r="N541">
        <v>44727</v>
      </c>
    </row>
    <row r="542" spans="1:14" x14ac:dyDescent="0.35">
      <c r="A542" t="s">
        <v>582</v>
      </c>
      <c r="B542" t="s">
        <v>21</v>
      </c>
      <c r="C542" t="s">
        <v>22</v>
      </c>
      <c r="D542" t="s">
        <v>38</v>
      </c>
      <c r="E542">
        <v>113042</v>
      </c>
      <c r="F542">
        <v>14.2</v>
      </c>
      <c r="G542">
        <v>36</v>
      </c>
      <c r="H542">
        <v>199653</v>
      </c>
      <c r="I542">
        <v>589</v>
      </c>
      <c r="J542" t="s">
        <v>18</v>
      </c>
      <c r="K542">
        <v>10</v>
      </c>
      <c r="L542">
        <v>37</v>
      </c>
      <c r="M542" t="s">
        <v>48</v>
      </c>
      <c r="N542">
        <v>45537</v>
      </c>
    </row>
    <row r="543" spans="1:14" x14ac:dyDescent="0.35">
      <c r="A543" t="s">
        <v>583</v>
      </c>
      <c r="B543" t="s">
        <v>28</v>
      </c>
      <c r="C543" t="s">
        <v>22</v>
      </c>
      <c r="D543" t="s">
        <v>32</v>
      </c>
      <c r="E543">
        <v>59110</v>
      </c>
      <c r="F543">
        <v>8.4499999999999993</v>
      </c>
      <c r="G543">
        <v>24</v>
      </c>
      <c r="H543">
        <v>42175</v>
      </c>
      <c r="I543">
        <v>583</v>
      </c>
      <c r="J543" t="s">
        <v>18</v>
      </c>
      <c r="K543">
        <v>7.9</v>
      </c>
      <c r="L543">
        <v>43.8</v>
      </c>
      <c r="M543" t="s">
        <v>19</v>
      </c>
      <c r="N543">
        <v>45326</v>
      </c>
    </row>
    <row r="544" spans="1:14" x14ac:dyDescent="0.35">
      <c r="A544" t="s">
        <v>584</v>
      </c>
      <c r="B544" t="s">
        <v>30</v>
      </c>
      <c r="C544" t="s">
        <v>34</v>
      </c>
      <c r="D544" t="s">
        <v>38</v>
      </c>
      <c r="E544">
        <v>150051</v>
      </c>
      <c r="F544">
        <v>12.78</v>
      </c>
      <c r="G544">
        <v>120</v>
      </c>
      <c r="H544">
        <v>165263</v>
      </c>
      <c r="I544">
        <v>794</v>
      </c>
      <c r="J544" t="s">
        <v>18</v>
      </c>
      <c r="K544">
        <v>11.7</v>
      </c>
      <c r="L544">
        <v>12.7</v>
      </c>
      <c r="M544" t="s">
        <v>19</v>
      </c>
      <c r="N544">
        <v>44945</v>
      </c>
    </row>
    <row r="545" spans="1:14" x14ac:dyDescent="0.35">
      <c r="A545" t="s">
        <v>585</v>
      </c>
      <c r="B545" t="s">
        <v>28</v>
      </c>
      <c r="C545" t="s">
        <v>16</v>
      </c>
      <c r="D545" t="s">
        <v>17</v>
      </c>
      <c r="E545">
        <v>33328</v>
      </c>
      <c r="F545">
        <v>3.91</v>
      </c>
      <c r="G545">
        <v>240</v>
      </c>
      <c r="H545">
        <v>111434</v>
      </c>
      <c r="I545">
        <v>677</v>
      </c>
      <c r="J545" t="s">
        <v>26</v>
      </c>
      <c r="K545">
        <v>7.1</v>
      </c>
      <c r="L545">
        <v>47.6</v>
      </c>
      <c r="M545" t="s">
        <v>19</v>
      </c>
      <c r="N545">
        <v>44442</v>
      </c>
    </row>
    <row r="546" spans="1:14" x14ac:dyDescent="0.35">
      <c r="A546" t="s">
        <v>586</v>
      </c>
      <c r="B546" t="s">
        <v>28</v>
      </c>
      <c r="C546" t="s">
        <v>16</v>
      </c>
      <c r="D546" t="s">
        <v>32</v>
      </c>
      <c r="E546">
        <v>642199</v>
      </c>
      <c r="F546">
        <v>6.99</v>
      </c>
      <c r="G546">
        <v>300</v>
      </c>
      <c r="H546">
        <v>112518</v>
      </c>
      <c r="I546">
        <v>680</v>
      </c>
      <c r="J546" t="s">
        <v>18</v>
      </c>
      <c r="K546">
        <v>24</v>
      </c>
      <c r="L546">
        <v>16.399999999999999</v>
      </c>
      <c r="M546" t="s">
        <v>19</v>
      </c>
      <c r="N546">
        <v>45301</v>
      </c>
    </row>
    <row r="547" spans="1:14" x14ac:dyDescent="0.35">
      <c r="A547" t="s">
        <v>587</v>
      </c>
      <c r="B547" t="s">
        <v>30</v>
      </c>
      <c r="C547" t="s">
        <v>22</v>
      </c>
      <c r="D547" t="s">
        <v>43</v>
      </c>
      <c r="E547">
        <v>280011</v>
      </c>
      <c r="F547">
        <v>3.96</v>
      </c>
      <c r="G547">
        <v>36</v>
      </c>
      <c r="H547">
        <v>94537</v>
      </c>
      <c r="I547">
        <v>588</v>
      </c>
      <c r="J547" t="s">
        <v>26</v>
      </c>
      <c r="K547">
        <v>7.8</v>
      </c>
      <c r="L547">
        <v>8.5</v>
      </c>
      <c r="M547" t="s">
        <v>23</v>
      </c>
      <c r="N547">
        <v>44858</v>
      </c>
    </row>
    <row r="548" spans="1:14" x14ac:dyDescent="0.35">
      <c r="A548" t="s">
        <v>588</v>
      </c>
      <c r="B548" t="s">
        <v>30</v>
      </c>
      <c r="C548" t="s">
        <v>22</v>
      </c>
      <c r="D548" t="s">
        <v>32</v>
      </c>
      <c r="E548">
        <v>64234</v>
      </c>
      <c r="F548">
        <v>14.22</v>
      </c>
      <c r="G548">
        <v>12</v>
      </c>
      <c r="H548">
        <v>143721</v>
      </c>
      <c r="I548">
        <v>640</v>
      </c>
      <c r="J548" t="s">
        <v>18</v>
      </c>
      <c r="K548">
        <v>2.5</v>
      </c>
      <c r="L548">
        <v>47.9</v>
      </c>
      <c r="M548" t="s">
        <v>55</v>
      </c>
      <c r="N548">
        <v>45105</v>
      </c>
    </row>
    <row r="549" spans="1:14" x14ac:dyDescent="0.35">
      <c r="A549" t="s">
        <v>589</v>
      </c>
      <c r="B549" t="s">
        <v>28</v>
      </c>
      <c r="C549" t="s">
        <v>22</v>
      </c>
      <c r="D549" t="s">
        <v>17</v>
      </c>
      <c r="E549">
        <v>232135</v>
      </c>
      <c r="F549">
        <v>12.43</v>
      </c>
      <c r="G549">
        <v>60</v>
      </c>
      <c r="H549">
        <v>75645</v>
      </c>
      <c r="I549">
        <v>725</v>
      </c>
      <c r="J549" t="s">
        <v>18</v>
      </c>
      <c r="K549">
        <v>13.2</v>
      </c>
      <c r="L549">
        <v>19.2</v>
      </c>
      <c r="M549" t="s">
        <v>48</v>
      </c>
      <c r="N549">
        <v>44592</v>
      </c>
    </row>
    <row r="550" spans="1:14" x14ac:dyDescent="0.35">
      <c r="A550" t="s">
        <v>590</v>
      </c>
      <c r="B550" t="s">
        <v>15</v>
      </c>
      <c r="C550" t="s">
        <v>34</v>
      </c>
      <c r="D550" t="s">
        <v>32</v>
      </c>
      <c r="E550">
        <v>602690</v>
      </c>
      <c r="F550">
        <v>12.83</v>
      </c>
      <c r="G550">
        <v>60</v>
      </c>
      <c r="H550">
        <v>51283</v>
      </c>
      <c r="I550">
        <v>642</v>
      </c>
      <c r="J550" t="s">
        <v>26</v>
      </c>
      <c r="K550">
        <v>1.4</v>
      </c>
      <c r="L550">
        <v>34.700000000000003</v>
      </c>
      <c r="M550" t="s">
        <v>23</v>
      </c>
      <c r="N550">
        <v>44718</v>
      </c>
    </row>
    <row r="551" spans="1:14" x14ac:dyDescent="0.35">
      <c r="A551" t="s">
        <v>591</v>
      </c>
      <c r="B551" t="s">
        <v>25</v>
      </c>
      <c r="C551" t="s">
        <v>22</v>
      </c>
      <c r="D551" t="s">
        <v>43</v>
      </c>
      <c r="E551">
        <v>343365</v>
      </c>
      <c r="F551">
        <v>13.8</v>
      </c>
      <c r="G551">
        <v>240</v>
      </c>
      <c r="H551">
        <v>114971</v>
      </c>
      <c r="I551">
        <v>700</v>
      </c>
      <c r="J551" t="s">
        <v>18</v>
      </c>
      <c r="K551">
        <v>2.8</v>
      </c>
      <c r="L551">
        <v>15.1</v>
      </c>
      <c r="M551" t="s">
        <v>48</v>
      </c>
      <c r="N551">
        <v>45122</v>
      </c>
    </row>
    <row r="552" spans="1:14" x14ac:dyDescent="0.35">
      <c r="A552" t="s">
        <v>592</v>
      </c>
      <c r="B552" t="s">
        <v>15</v>
      </c>
      <c r="C552" t="s">
        <v>34</v>
      </c>
      <c r="D552" t="s">
        <v>17</v>
      </c>
      <c r="E552">
        <v>534739</v>
      </c>
      <c r="F552">
        <v>4.16</v>
      </c>
      <c r="G552">
        <v>36</v>
      </c>
      <c r="H552">
        <v>120759</v>
      </c>
      <c r="I552">
        <v>805</v>
      </c>
      <c r="J552" t="s">
        <v>39</v>
      </c>
      <c r="K552">
        <v>5.5</v>
      </c>
      <c r="L552">
        <v>31.2</v>
      </c>
      <c r="M552" t="s">
        <v>19</v>
      </c>
      <c r="N552">
        <v>44460</v>
      </c>
    </row>
    <row r="553" spans="1:14" x14ac:dyDescent="0.35">
      <c r="A553" t="s">
        <v>593</v>
      </c>
      <c r="B553" t="s">
        <v>37</v>
      </c>
      <c r="C553" t="s">
        <v>16</v>
      </c>
      <c r="D553" t="s">
        <v>17</v>
      </c>
      <c r="E553">
        <v>92178</v>
      </c>
      <c r="F553">
        <v>7.56</v>
      </c>
      <c r="G553">
        <v>240</v>
      </c>
      <c r="H553">
        <v>218195</v>
      </c>
      <c r="I553">
        <v>684</v>
      </c>
      <c r="J553" t="s">
        <v>18</v>
      </c>
      <c r="K553">
        <v>11.6</v>
      </c>
      <c r="L553">
        <v>44.2</v>
      </c>
      <c r="M553" t="s">
        <v>19</v>
      </c>
      <c r="N553">
        <v>44986</v>
      </c>
    </row>
    <row r="554" spans="1:14" x14ac:dyDescent="0.35">
      <c r="A554" t="s">
        <v>594</v>
      </c>
      <c r="B554" t="s">
        <v>15</v>
      </c>
      <c r="C554" t="s">
        <v>22</v>
      </c>
      <c r="D554" t="s">
        <v>38</v>
      </c>
      <c r="E554">
        <v>241562</v>
      </c>
      <c r="F554">
        <v>4</v>
      </c>
      <c r="G554">
        <v>60</v>
      </c>
      <c r="H554">
        <v>130780</v>
      </c>
      <c r="I554">
        <v>839</v>
      </c>
      <c r="J554" t="s">
        <v>18</v>
      </c>
      <c r="K554">
        <v>10.8</v>
      </c>
      <c r="L554">
        <v>20.8</v>
      </c>
      <c r="M554" t="s">
        <v>23</v>
      </c>
      <c r="N554">
        <v>45494</v>
      </c>
    </row>
    <row r="555" spans="1:14" x14ac:dyDescent="0.35">
      <c r="A555" t="s">
        <v>595</v>
      </c>
      <c r="B555" t="s">
        <v>15</v>
      </c>
      <c r="C555" t="s">
        <v>16</v>
      </c>
      <c r="D555" t="s">
        <v>43</v>
      </c>
      <c r="E555">
        <v>306014</v>
      </c>
      <c r="F555">
        <v>5.58</v>
      </c>
      <c r="G555">
        <v>300</v>
      </c>
      <c r="H555">
        <v>189096</v>
      </c>
      <c r="I555">
        <v>834</v>
      </c>
      <c r="J555" t="s">
        <v>35</v>
      </c>
      <c r="K555">
        <v>20</v>
      </c>
      <c r="L555">
        <v>34.799999999999997</v>
      </c>
      <c r="M555" t="s">
        <v>23</v>
      </c>
      <c r="N555">
        <v>44368</v>
      </c>
    </row>
    <row r="556" spans="1:14" x14ac:dyDescent="0.35">
      <c r="A556" t="s">
        <v>596</v>
      </c>
      <c r="B556" t="s">
        <v>37</v>
      </c>
      <c r="C556" t="s">
        <v>22</v>
      </c>
      <c r="D556" t="s">
        <v>17</v>
      </c>
      <c r="E556">
        <v>363710</v>
      </c>
      <c r="F556">
        <v>5.79</v>
      </c>
      <c r="G556">
        <v>24</v>
      </c>
      <c r="H556">
        <v>208702</v>
      </c>
      <c r="I556">
        <v>786</v>
      </c>
      <c r="J556" t="s">
        <v>18</v>
      </c>
      <c r="K556">
        <v>18.5</v>
      </c>
      <c r="L556">
        <v>15.5</v>
      </c>
      <c r="M556" t="s">
        <v>23</v>
      </c>
      <c r="N556">
        <v>44461</v>
      </c>
    </row>
    <row r="557" spans="1:14" x14ac:dyDescent="0.35">
      <c r="A557" t="s">
        <v>597</v>
      </c>
      <c r="B557" t="s">
        <v>15</v>
      </c>
      <c r="C557" t="s">
        <v>34</v>
      </c>
      <c r="D557" t="s">
        <v>17</v>
      </c>
      <c r="E557">
        <v>390893</v>
      </c>
      <c r="F557">
        <v>8.5</v>
      </c>
      <c r="G557">
        <v>36</v>
      </c>
      <c r="H557">
        <v>58734</v>
      </c>
      <c r="I557">
        <v>607</v>
      </c>
      <c r="J557" t="s">
        <v>18</v>
      </c>
      <c r="K557">
        <v>10.7</v>
      </c>
      <c r="L557">
        <v>33</v>
      </c>
      <c r="M557" t="s">
        <v>23</v>
      </c>
      <c r="N557">
        <v>45246</v>
      </c>
    </row>
    <row r="558" spans="1:14" x14ac:dyDescent="0.35">
      <c r="A558" t="s">
        <v>598</v>
      </c>
      <c r="B558" t="s">
        <v>30</v>
      </c>
      <c r="C558" t="s">
        <v>34</v>
      </c>
      <c r="D558" t="s">
        <v>17</v>
      </c>
      <c r="E558">
        <v>128765</v>
      </c>
      <c r="F558">
        <v>6.23</v>
      </c>
      <c r="G558">
        <v>48</v>
      </c>
      <c r="H558">
        <v>28515</v>
      </c>
      <c r="I558">
        <v>749</v>
      </c>
      <c r="J558" t="s">
        <v>26</v>
      </c>
      <c r="K558">
        <v>8.3000000000000007</v>
      </c>
      <c r="L558">
        <v>21.5</v>
      </c>
      <c r="M558" t="s">
        <v>23</v>
      </c>
      <c r="N558">
        <v>44672</v>
      </c>
    </row>
    <row r="559" spans="1:14" x14ac:dyDescent="0.35">
      <c r="A559" t="s">
        <v>599</v>
      </c>
      <c r="B559" t="s">
        <v>30</v>
      </c>
      <c r="C559" t="s">
        <v>22</v>
      </c>
      <c r="D559" t="s">
        <v>17</v>
      </c>
      <c r="E559">
        <v>392025</v>
      </c>
      <c r="F559">
        <v>4.34</v>
      </c>
      <c r="G559">
        <v>24</v>
      </c>
      <c r="H559">
        <v>138782</v>
      </c>
      <c r="I559">
        <v>655</v>
      </c>
      <c r="J559" t="s">
        <v>18</v>
      </c>
      <c r="K559">
        <v>7.9</v>
      </c>
      <c r="L559">
        <v>16.399999999999999</v>
      </c>
      <c r="M559" t="s">
        <v>23</v>
      </c>
      <c r="N559">
        <v>44552</v>
      </c>
    </row>
    <row r="560" spans="1:14" x14ac:dyDescent="0.35">
      <c r="A560" t="s">
        <v>600</v>
      </c>
      <c r="B560" t="s">
        <v>25</v>
      </c>
      <c r="C560" t="s">
        <v>22</v>
      </c>
      <c r="D560" t="s">
        <v>32</v>
      </c>
      <c r="E560">
        <v>133389</v>
      </c>
      <c r="F560">
        <v>5.09</v>
      </c>
      <c r="G560">
        <v>24</v>
      </c>
      <c r="H560">
        <v>94727</v>
      </c>
      <c r="I560">
        <v>695</v>
      </c>
      <c r="J560" t="s">
        <v>26</v>
      </c>
      <c r="K560">
        <v>19.3</v>
      </c>
      <c r="L560">
        <v>20.5</v>
      </c>
      <c r="M560" t="s">
        <v>23</v>
      </c>
      <c r="N560">
        <v>45246</v>
      </c>
    </row>
    <row r="561" spans="1:14" x14ac:dyDescent="0.35">
      <c r="A561" t="s">
        <v>601</v>
      </c>
      <c r="B561" t="s">
        <v>28</v>
      </c>
      <c r="C561" t="s">
        <v>16</v>
      </c>
      <c r="D561" t="s">
        <v>38</v>
      </c>
      <c r="E561">
        <v>718987</v>
      </c>
      <c r="F561">
        <v>4.8600000000000003</v>
      </c>
      <c r="G561">
        <v>24</v>
      </c>
      <c r="H561">
        <v>137164</v>
      </c>
      <c r="I561">
        <v>648</v>
      </c>
      <c r="J561" t="s">
        <v>26</v>
      </c>
      <c r="K561">
        <v>1.3</v>
      </c>
      <c r="L561">
        <v>15.2</v>
      </c>
      <c r="M561" t="s">
        <v>48</v>
      </c>
      <c r="N561">
        <v>44230</v>
      </c>
    </row>
    <row r="562" spans="1:14" x14ac:dyDescent="0.35">
      <c r="A562" t="s">
        <v>602</v>
      </c>
      <c r="B562" t="s">
        <v>28</v>
      </c>
      <c r="C562" t="s">
        <v>34</v>
      </c>
      <c r="D562" t="s">
        <v>45</v>
      </c>
      <c r="E562">
        <v>202227</v>
      </c>
      <c r="F562">
        <v>14.2</v>
      </c>
      <c r="G562">
        <v>48</v>
      </c>
      <c r="H562">
        <v>74216</v>
      </c>
      <c r="I562">
        <v>813</v>
      </c>
      <c r="J562" t="s">
        <v>35</v>
      </c>
      <c r="K562">
        <v>0.3</v>
      </c>
      <c r="L562">
        <v>44.1</v>
      </c>
      <c r="M562" t="s">
        <v>23</v>
      </c>
      <c r="N562">
        <v>44460</v>
      </c>
    </row>
    <row r="563" spans="1:14" x14ac:dyDescent="0.35">
      <c r="A563" t="s">
        <v>603</v>
      </c>
      <c r="B563" t="s">
        <v>30</v>
      </c>
      <c r="C563" t="s">
        <v>22</v>
      </c>
      <c r="D563" t="s">
        <v>45</v>
      </c>
      <c r="E563">
        <v>497402</v>
      </c>
      <c r="F563">
        <v>11.78</v>
      </c>
      <c r="G563">
        <v>300</v>
      </c>
      <c r="H563">
        <v>99833</v>
      </c>
      <c r="I563">
        <v>580</v>
      </c>
      <c r="J563" t="s">
        <v>18</v>
      </c>
      <c r="K563">
        <v>19.899999999999999</v>
      </c>
      <c r="L563">
        <v>23.9</v>
      </c>
      <c r="M563" t="s">
        <v>23</v>
      </c>
      <c r="N563">
        <v>45358</v>
      </c>
    </row>
    <row r="564" spans="1:14" x14ac:dyDescent="0.35">
      <c r="A564" t="s">
        <v>604</v>
      </c>
      <c r="B564" t="s">
        <v>30</v>
      </c>
      <c r="C564" t="s">
        <v>16</v>
      </c>
      <c r="D564" t="s">
        <v>17</v>
      </c>
      <c r="E564">
        <v>265220</v>
      </c>
      <c r="F564">
        <v>14.14</v>
      </c>
      <c r="G564">
        <v>12</v>
      </c>
      <c r="H564">
        <v>86755</v>
      </c>
      <c r="I564">
        <v>746</v>
      </c>
      <c r="J564" t="s">
        <v>18</v>
      </c>
      <c r="K564">
        <v>11.9</v>
      </c>
      <c r="L564">
        <v>17.8</v>
      </c>
      <c r="M564" t="s">
        <v>23</v>
      </c>
      <c r="N564">
        <v>45012</v>
      </c>
    </row>
    <row r="565" spans="1:14" x14ac:dyDescent="0.35">
      <c r="A565" t="s">
        <v>605</v>
      </c>
      <c r="B565" t="s">
        <v>30</v>
      </c>
      <c r="C565" t="s">
        <v>16</v>
      </c>
      <c r="D565" t="s">
        <v>43</v>
      </c>
      <c r="E565">
        <v>426217</v>
      </c>
      <c r="F565">
        <v>8.17</v>
      </c>
      <c r="G565">
        <v>300</v>
      </c>
      <c r="H565">
        <v>55856</v>
      </c>
      <c r="I565">
        <v>797</v>
      </c>
      <c r="J565" t="s">
        <v>26</v>
      </c>
      <c r="K565">
        <v>3.3</v>
      </c>
      <c r="L565">
        <v>25.9</v>
      </c>
      <c r="M565" t="s">
        <v>23</v>
      </c>
      <c r="N565">
        <v>45071</v>
      </c>
    </row>
    <row r="566" spans="1:14" x14ac:dyDescent="0.35">
      <c r="A566" t="s">
        <v>606</v>
      </c>
      <c r="B566" t="s">
        <v>30</v>
      </c>
      <c r="C566" t="s">
        <v>16</v>
      </c>
      <c r="D566" t="s">
        <v>32</v>
      </c>
      <c r="E566">
        <v>301208</v>
      </c>
      <c r="F566">
        <v>6.35</v>
      </c>
      <c r="G566">
        <v>300</v>
      </c>
      <c r="H566">
        <v>101870</v>
      </c>
      <c r="I566">
        <v>830</v>
      </c>
      <c r="J566" t="s">
        <v>18</v>
      </c>
      <c r="K566">
        <v>5.9</v>
      </c>
      <c r="L566">
        <v>20.8</v>
      </c>
      <c r="M566" t="s">
        <v>19</v>
      </c>
      <c r="N566">
        <v>44950</v>
      </c>
    </row>
    <row r="567" spans="1:14" x14ac:dyDescent="0.35">
      <c r="A567" t="s">
        <v>607</v>
      </c>
      <c r="B567" t="s">
        <v>15</v>
      </c>
      <c r="C567" t="s">
        <v>22</v>
      </c>
      <c r="D567" t="s">
        <v>52</v>
      </c>
      <c r="E567">
        <v>73431</v>
      </c>
      <c r="F567">
        <v>12.22</v>
      </c>
      <c r="G567">
        <v>300</v>
      </c>
      <c r="H567">
        <v>183234</v>
      </c>
      <c r="I567">
        <v>753</v>
      </c>
      <c r="J567" t="s">
        <v>18</v>
      </c>
      <c r="K567">
        <v>23.3</v>
      </c>
      <c r="L567">
        <v>37.799999999999997</v>
      </c>
      <c r="M567" t="s">
        <v>19</v>
      </c>
      <c r="N567">
        <v>44762</v>
      </c>
    </row>
    <row r="568" spans="1:14" x14ac:dyDescent="0.35">
      <c r="A568" t="s">
        <v>608</v>
      </c>
      <c r="B568" t="s">
        <v>15</v>
      </c>
      <c r="C568" t="s">
        <v>16</v>
      </c>
      <c r="D568" t="s">
        <v>45</v>
      </c>
      <c r="E568">
        <v>60745</v>
      </c>
      <c r="F568">
        <v>6.89</v>
      </c>
      <c r="G568">
        <v>120</v>
      </c>
      <c r="H568">
        <v>165080</v>
      </c>
      <c r="I568">
        <v>749</v>
      </c>
      <c r="J568" t="s">
        <v>18</v>
      </c>
      <c r="K568">
        <v>21.5</v>
      </c>
      <c r="L568">
        <v>46.8</v>
      </c>
      <c r="M568" t="s">
        <v>19</v>
      </c>
      <c r="N568">
        <v>44658</v>
      </c>
    </row>
    <row r="569" spans="1:14" x14ac:dyDescent="0.35">
      <c r="A569" t="s">
        <v>609</v>
      </c>
      <c r="B569" t="s">
        <v>15</v>
      </c>
      <c r="C569" t="s">
        <v>34</v>
      </c>
      <c r="D569" t="s">
        <v>17</v>
      </c>
      <c r="E569">
        <v>55081</v>
      </c>
      <c r="F569">
        <v>6.58</v>
      </c>
      <c r="G569">
        <v>240</v>
      </c>
      <c r="H569">
        <v>35987</v>
      </c>
      <c r="I569">
        <v>825</v>
      </c>
      <c r="J569" t="s">
        <v>18</v>
      </c>
      <c r="K569">
        <v>17.7</v>
      </c>
      <c r="L569">
        <v>25.5</v>
      </c>
      <c r="M569" t="s">
        <v>23</v>
      </c>
      <c r="N569">
        <v>45388</v>
      </c>
    </row>
    <row r="570" spans="1:14" x14ac:dyDescent="0.35">
      <c r="A570" t="s">
        <v>610</v>
      </c>
      <c r="B570" t="s">
        <v>83</v>
      </c>
      <c r="C570" t="s">
        <v>22</v>
      </c>
      <c r="D570" t="s">
        <v>45</v>
      </c>
      <c r="E570">
        <v>221204</v>
      </c>
      <c r="F570">
        <v>5.83</v>
      </c>
      <c r="G570">
        <v>60</v>
      </c>
      <c r="H570">
        <v>124502</v>
      </c>
      <c r="I570">
        <v>669</v>
      </c>
      <c r="J570" t="s">
        <v>18</v>
      </c>
      <c r="K570">
        <v>12.1</v>
      </c>
      <c r="L570">
        <v>42.4</v>
      </c>
      <c r="M570" t="s">
        <v>19</v>
      </c>
      <c r="N570">
        <v>44851</v>
      </c>
    </row>
    <row r="571" spans="1:14" x14ac:dyDescent="0.35">
      <c r="A571" t="s">
        <v>611</v>
      </c>
      <c r="B571" t="s">
        <v>30</v>
      </c>
      <c r="C571" t="s">
        <v>22</v>
      </c>
      <c r="D571" t="s">
        <v>17</v>
      </c>
      <c r="E571">
        <v>406415</v>
      </c>
      <c r="F571">
        <v>4.67</v>
      </c>
      <c r="G571">
        <v>240</v>
      </c>
      <c r="H571">
        <v>162404</v>
      </c>
      <c r="I571">
        <v>628</v>
      </c>
      <c r="J571" t="s">
        <v>39</v>
      </c>
      <c r="K571">
        <v>13</v>
      </c>
      <c r="L571">
        <v>30.6</v>
      </c>
      <c r="M571" t="s">
        <v>23</v>
      </c>
      <c r="N571">
        <v>44277</v>
      </c>
    </row>
    <row r="572" spans="1:14" x14ac:dyDescent="0.35">
      <c r="A572" t="s">
        <v>612</v>
      </c>
      <c r="B572" t="s">
        <v>15</v>
      </c>
      <c r="C572" t="s">
        <v>34</v>
      </c>
      <c r="D572" t="s">
        <v>45</v>
      </c>
      <c r="E572">
        <v>605541</v>
      </c>
      <c r="F572">
        <v>6.1</v>
      </c>
      <c r="G572">
        <v>36</v>
      </c>
      <c r="H572">
        <v>94323</v>
      </c>
      <c r="I572">
        <v>729</v>
      </c>
      <c r="J572" t="s">
        <v>39</v>
      </c>
      <c r="K572">
        <v>24.4</v>
      </c>
      <c r="L572">
        <v>14.3</v>
      </c>
      <c r="M572" t="s">
        <v>23</v>
      </c>
      <c r="N572">
        <v>44953</v>
      </c>
    </row>
    <row r="573" spans="1:14" x14ac:dyDescent="0.35">
      <c r="A573" t="s">
        <v>613</v>
      </c>
      <c r="B573" t="s">
        <v>25</v>
      </c>
      <c r="C573" t="s">
        <v>22</v>
      </c>
      <c r="D573" t="s">
        <v>17</v>
      </c>
      <c r="E573">
        <v>303335</v>
      </c>
      <c r="F573">
        <v>7.22</v>
      </c>
      <c r="G573">
        <v>300</v>
      </c>
      <c r="H573">
        <v>198062</v>
      </c>
      <c r="I573">
        <v>711</v>
      </c>
      <c r="J573" t="s">
        <v>18</v>
      </c>
      <c r="K573">
        <v>24.1</v>
      </c>
      <c r="L573">
        <v>35.6</v>
      </c>
      <c r="M573" t="s">
        <v>23</v>
      </c>
      <c r="N573">
        <v>45066</v>
      </c>
    </row>
    <row r="574" spans="1:14" x14ac:dyDescent="0.35">
      <c r="A574" t="s">
        <v>614</v>
      </c>
      <c r="B574" t="s">
        <v>15</v>
      </c>
      <c r="C574" t="s">
        <v>34</v>
      </c>
      <c r="D574" t="s">
        <v>17</v>
      </c>
      <c r="E574">
        <v>116086</v>
      </c>
      <c r="F574">
        <v>10.82</v>
      </c>
      <c r="G574">
        <v>12</v>
      </c>
      <c r="H574">
        <v>37873</v>
      </c>
      <c r="I574">
        <v>638</v>
      </c>
      <c r="J574" t="s">
        <v>18</v>
      </c>
      <c r="K574">
        <v>5.4</v>
      </c>
      <c r="L574">
        <v>28.5</v>
      </c>
      <c r="M574" t="s">
        <v>23</v>
      </c>
      <c r="N574">
        <v>45627</v>
      </c>
    </row>
    <row r="575" spans="1:14" x14ac:dyDescent="0.35">
      <c r="A575" t="s">
        <v>615</v>
      </c>
      <c r="B575" t="s">
        <v>28</v>
      </c>
      <c r="C575" t="s">
        <v>22</v>
      </c>
      <c r="D575" t="s">
        <v>43</v>
      </c>
      <c r="E575">
        <v>461285</v>
      </c>
      <c r="F575">
        <v>3.91</v>
      </c>
      <c r="G575">
        <v>36</v>
      </c>
      <c r="H575">
        <v>195516</v>
      </c>
      <c r="I575">
        <v>778</v>
      </c>
      <c r="J575" t="s">
        <v>18</v>
      </c>
      <c r="K575">
        <v>20.3</v>
      </c>
      <c r="L575">
        <v>34</v>
      </c>
      <c r="M575" t="s">
        <v>23</v>
      </c>
      <c r="N575">
        <v>45266</v>
      </c>
    </row>
    <row r="576" spans="1:14" x14ac:dyDescent="0.35">
      <c r="A576" t="s">
        <v>616</v>
      </c>
      <c r="B576" t="s">
        <v>37</v>
      </c>
      <c r="C576" t="s">
        <v>22</v>
      </c>
      <c r="D576" t="s">
        <v>17</v>
      </c>
      <c r="E576">
        <v>419758</v>
      </c>
      <c r="F576">
        <v>5.58</v>
      </c>
      <c r="G576">
        <v>240</v>
      </c>
      <c r="H576">
        <v>194412</v>
      </c>
      <c r="I576">
        <v>794</v>
      </c>
      <c r="J576" t="s">
        <v>39</v>
      </c>
      <c r="K576">
        <v>4.9000000000000004</v>
      </c>
      <c r="L576">
        <v>43.6</v>
      </c>
      <c r="M576" t="s">
        <v>23</v>
      </c>
      <c r="N576">
        <v>44795</v>
      </c>
    </row>
    <row r="577" spans="1:14" x14ac:dyDescent="0.35">
      <c r="A577" t="s">
        <v>617</v>
      </c>
      <c r="B577" t="s">
        <v>71</v>
      </c>
      <c r="C577" t="s">
        <v>34</v>
      </c>
      <c r="D577" t="s">
        <v>43</v>
      </c>
      <c r="E577">
        <v>429528</v>
      </c>
      <c r="F577">
        <v>12.34</v>
      </c>
      <c r="G577">
        <v>60</v>
      </c>
      <c r="H577">
        <v>133219</v>
      </c>
      <c r="I577">
        <v>628</v>
      </c>
      <c r="J577" t="s">
        <v>18</v>
      </c>
      <c r="K577">
        <v>5.3</v>
      </c>
      <c r="L577">
        <v>25.6</v>
      </c>
      <c r="M577" t="s">
        <v>48</v>
      </c>
      <c r="N577">
        <v>45003</v>
      </c>
    </row>
    <row r="578" spans="1:14" x14ac:dyDescent="0.35">
      <c r="A578" t="s">
        <v>618</v>
      </c>
      <c r="B578" t="s">
        <v>30</v>
      </c>
      <c r="C578" t="s">
        <v>22</v>
      </c>
      <c r="D578" t="s">
        <v>17</v>
      </c>
      <c r="E578">
        <v>443458</v>
      </c>
      <c r="F578">
        <v>4.8600000000000003</v>
      </c>
      <c r="G578">
        <v>48</v>
      </c>
      <c r="H578">
        <v>33033</v>
      </c>
      <c r="I578">
        <v>811</v>
      </c>
      <c r="J578" t="s">
        <v>26</v>
      </c>
      <c r="K578">
        <v>16.899999999999999</v>
      </c>
      <c r="L578">
        <v>44</v>
      </c>
      <c r="M578" t="s">
        <v>23</v>
      </c>
      <c r="N578">
        <v>45273</v>
      </c>
    </row>
    <row r="579" spans="1:14" x14ac:dyDescent="0.35">
      <c r="A579" t="s">
        <v>619</v>
      </c>
      <c r="B579" t="s">
        <v>71</v>
      </c>
      <c r="C579" t="s">
        <v>16</v>
      </c>
      <c r="D579" t="s">
        <v>45</v>
      </c>
      <c r="E579">
        <v>623071</v>
      </c>
      <c r="F579">
        <v>7.07</v>
      </c>
      <c r="G579">
        <v>240</v>
      </c>
      <c r="H579">
        <v>101324</v>
      </c>
      <c r="I579">
        <v>826</v>
      </c>
      <c r="J579" t="s">
        <v>18</v>
      </c>
      <c r="K579">
        <v>10.1</v>
      </c>
      <c r="L579">
        <v>38</v>
      </c>
      <c r="M579" t="s">
        <v>23</v>
      </c>
      <c r="N579">
        <v>45180</v>
      </c>
    </row>
    <row r="580" spans="1:14" x14ac:dyDescent="0.35">
      <c r="A580" t="s">
        <v>620</v>
      </c>
      <c r="B580" t="s">
        <v>15</v>
      </c>
      <c r="C580" t="s">
        <v>22</v>
      </c>
      <c r="D580" t="s">
        <v>45</v>
      </c>
      <c r="E580">
        <v>654969</v>
      </c>
      <c r="F580">
        <v>12.97</v>
      </c>
      <c r="G580">
        <v>24</v>
      </c>
      <c r="H580">
        <v>43689</v>
      </c>
      <c r="I580">
        <v>818</v>
      </c>
      <c r="J580" t="s">
        <v>26</v>
      </c>
      <c r="K580">
        <v>23.3</v>
      </c>
      <c r="L580">
        <v>27.5</v>
      </c>
      <c r="M580" t="s">
        <v>23</v>
      </c>
      <c r="N580">
        <v>44900</v>
      </c>
    </row>
    <row r="581" spans="1:14" x14ac:dyDescent="0.35">
      <c r="A581" t="s">
        <v>621</v>
      </c>
      <c r="B581" t="s">
        <v>30</v>
      </c>
      <c r="C581" t="s">
        <v>16</v>
      </c>
      <c r="D581" t="s">
        <v>32</v>
      </c>
      <c r="E581">
        <v>617181</v>
      </c>
      <c r="F581">
        <v>4.95</v>
      </c>
      <c r="G581">
        <v>240</v>
      </c>
      <c r="H581">
        <v>137756</v>
      </c>
      <c r="I581">
        <v>747</v>
      </c>
      <c r="J581" t="s">
        <v>18</v>
      </c>
      <c r="K581">
        <v>2.2000000000000002</v>
      </c>
      <c r="L581">
        <v>32.1</v>
      </c>
      <c r="M581" t="s">
        <v>19</v>
      </c>
      <c r="N581">
        <v>44672</v>
      </c>
    </row>
    <row r="582" spans="1:14" x14ac:dyDescent="0.35">
      <c r="A582" t="s">
        <v>622</v>
      </c>
      <c r="B582" t="s">
        <v>15</v>
      </c>
      <c r="C582" t="s">
        <v>22</v>
      </c>
      <c r="D582" t="s">
        <v>17</v>
      </c>
      <c r="E582">
        <v>504797</v>
      </c>
      <c r="F582">
        <v>4.13</v>
      </c>
      <c r="G582">
        <v>24</v>
      </c>
      <c r="H582">
        <v>28066</v>
      </c>
      <c r="I582">
        <v>627</v>
      </c>
      <c r="J582" t="s">
        <v>26</v>
      </c>
      <c r="K582">
        <v>12.8</v>
      </c>
      <c r="L582">
        <v>21</v>
      </c>
      <c r="M582" t="s">
        <v>23</v>
      </c>
      <c r="N582">
        <v>44788</v>
      </c>
    </row>
    <row r="583" spans="1:14" x14ac:dyDescent="0.35">
      <c r="A583" t="s">
        <v>623</v>
      </c>
      <c r="B583" t="s">
        <v>110</v>
      </c>
      <c r="C583" t="s">
        <v>22</v>
      </c>
      <c r="D583" t="s">
        <v>17</v>
      </c>
      <c r="E583">
        <v>163763</v>
      </c>
      <c r="F583">
        <v>8.68</v>
      </c>
      <c r="G583">
        <v>48</v>
      </c>
      <c r="H583">
        <v>142159</v>
      </c>
      <c r="I583">
        <v>630</v>
      </c>
      <c r="J583" t="s">
        <v>18</v>
      </c>
      <c r="K583">
        <v>23</v>
      </c>
      <c r="L583">
        <v>47.3</v>
      </c>
      <c r="M583" t="s">
        <v>55</v>
      </c>
      <c r="N583">
        <v>44212</v>
      </c>
    </row>
    <row r="584" spans="1:14" x14ac:dyDescent="0.35">
      <c r="A584" t="s">
        <v>624</v>
      </c>
      <c r="B584" t="s">
        <v>15</v>
      </c>
      <c r="C584" t="s">
        <v>34</v>
      </c>
      <c r="D584" t="s">
        <v>17</v>
      </c>
      <c r="E584">
        <v>607248</v>
      </c>
      <c r="F584">
        <v>6.62</v>
      </c>
      <c r="G584">
        <v>240</v>
      </c>
      <c r="H584">
        <v>204318</v>
      </c>
      <c r="I584">
        <v>677</v>
      </c>
      <c r="J584" t="s">
        <v>26</v>
      </c>
      <c r="K584">
        <v>22.6</v>
      </c>
      <c r="L584">
        <v>34.700000000000003</v>
      </c>
      <c r="M584" t="s">
        <v>48</v>
      </c>
      <c r="N584">
        <v>45580</v>
      </c>
    </row>
    <row r="585" spans="1:14" x14ac:dyDescent="0.35">
      <c r="A585" t="s">
        <v>625</v>
      </c>
      <c r="B585" t="s">
        <v>30</v>
      </c>
      <c r="C585" t="s">
        <v>22</v>
      </c>
      <c r="D585" t="s">
        <v>17</v>
      </c>
      <c r="E585">
        <v>27601</v>
      </c>
      <c r="F585">
        <v>9.57</v>
      </c>
      <c r="G585">
        <v>12</v>
      </c>
      <c r="H585">
        <v>35533</v>
      </c>
      <c r="I585">
        <v>795</v>
      </c>
      <c r="J585" t="s">
        <v>18</v>
      </c>
      <c r="K585">
        <v>3.9</v>
      </c>
      <c r="L585">
        <v>9.8000000000000007</v>
      </c>
      <c r="M585" t="s">
        <v>23</v>
      </c>
      <c r="N585">
        <v>44683</v>
      </c>
    </row>
    <row r="586" spans="1:14" x14ac:dyDescent="0.35">
      <c r="A586" t="s">
        <v>626</v>
      </c>
      <c r="B586" t="s">
        <v>28</v>
      </c>
      <c r="C586" t="s">
        <v>16</v>
      </c>
      <c r="D586" t="s">
        <v>45</v>
      </c>
      <c r="E586">
        <v>416236</v>
      </c>
      <c r="F586">
        <v>12.28</v>
      </c>
      <c r="G586">
        <v>12</v>
      </c>
      <c r="H586">
        <v>143828</v>
      </c>
      <c r="I586">
        <v>756</v>
      </c>
      <c r="J586" t="s">
        <v>26</v>
      </c>
      <c r="K586">
        <v>9.1999999999999993</v>
      </c>
      <c r="L586">
        <v>21.1</v>
      </c>
      <c r="M586" t="s">
        <v>23</v>
      </c>
      <c r="N586">
        <v>44902</v>
      </c>
    </row>
    <row r="587" spans="1:14" x14ac:dyDescent="0.35">
      <c r="A587" t="s">
        <v>627</v>
      </c>
      <c r="B587" t="s">
        <v>30</v>
      </c>
      <c r="C587" t="s">
        <v>22</v>
      </c>
      <c r="D587" t="s">
        <v>73</v>
      </c>
      <c r="E587">
        <v>144227</v>
      </c>
      <c r="F587">
        <v>4.75</v>
      </c>
      <c r="G587">
        <v>36</v>
      </c>
      <c r="H587">
        <v>87658</v>
      </c>
      <c r="I587">
        <v>659</v>
      </c>
      <c r="J587" t="s">
        <v>39</v>
      </c>
      <c r="K587">
        <v>15.5</v>
      </c>
      <c r="L587">
        <v>32.9</v>
      </c>
      <c r="M587" t="s">
        <v>23</v>
      </c>
      <c r="N587">
        <v>45361</v>
      </c>
    </row>
    <row r="588" spans="1:14" x14ac:dyDescent="0.35">
      <c r="A588" t="s">
        <v>628</v>
      </c>
      <c r="B588" t="s">
        <v>30</v>
      </c>
      <c r="C588" t="s">
        <v>16</v>
      </c>
      <c r="D588" t="s">
        <v>43</v>
      </c>
      <c r="E588">
        <v>729479</v>
      </c>
      <c r="F588">
        <v>9.76</v>
      </c>
      <c r="G588">
        <v>48</v>
      </c>
      <c r="H588">
        <v>66498</v>
      </c>
      <c r="I588">
        <v>764</v>
      </c>
      <c r="J588" t="s">
        <v>18</v>
      </c>
      <c r="K588">
        <v>4</v>
      </c>
      <c r="L588">
        <v>10.3</v>
      </c>
      <c r="M588" t="s">
        <v>19</v>
      </c>
      <c r="N588">
        <v>44816</v>
      </c>
    </row>
    <row r="589" spans="1:14" x14ac:dyDescent="0.35">
      <c r="A589" t="s">
        <v>629</v>
      </c>
      <c r="B589" t="s">
        <v>30</v>
      </c>
      <c r="C589" t="s">
        <v>22</v>
      </c>
      <c r="D589" t="s">
        <v>38</v>
      </c>
      <c r="E589">
        <v>697137</v>
      </c>
      <c r="F589">
        <v>8.91</v>
      </c>
      <c r="G589">
        <v>300</v>
      </c>
      <c r="H589">
        <v>137028</v>
      </c>
      <c r="I589">
        <v>606</v>
      </c>
      <c r="J589" t="s">
        <v>39</v>
      </c>
      <c r="K589">
        <v>24.2</v>
      </c>
      <c r="L589">
        <v>9</v>
      </c>
      <c r="M589" t="s">
        <v>23</v>
      </c>
      <c r="N589">
        <v>45215</v>
      </c>
    </row>
    <row r="590" spans="1:14" x14ac:dyDescent="0.35">
      <c r="A590" t="s">
        <v>630</v>
      </c>
      <c r="B590" t="s">
        <v>30</v>
      </c>
      <c r="C590" t="s">
        <v>34</v>
      </c>
      <c r="D590" t="s">
        <v>38</v>
      </c>
      <c r="E590">
        <v>286854</v>
      </c>
      <c r="F590">
        <v>4.83</v>
      </c>
      <c r="G590">
        <v>12</v>
      </c>
      <c r="H590">
        <v>39772</v>
      </c>
      <c r="I590">
        <v>774</v>
      </c>
      <c r="J590" t="s">
        <v>18</v>
      </c>
      <c r="K590">
        <v>22.9</v>
      </c>
      <c r="L590">
        <v>26</v>
      </c>
      <c r="M590" t="s">
        <v>23</v>
      </c>
      <c r="N590">
        <v>44973</v>
      </c>
    </row>
    <row r="591" spans="1:14" x14ac:dyDescent="0.35">
      <c r="A591" t="s">
        <v>631</v>
      </c>
      <c r="B591" t="s">
        <v>30</v>
      </c>
      <c r="C591" t="s">
        <v>22</v>
      </c>
      <c r="D591" t="s">
        <v>45</v>
      </c>
      <c r="E591">
        <v>375858</v>
      </c>
      <c r="F591">
        <v>10.25</v>
      </c>
      <c r="G591">
        <v>240</v>
      </c>
      <c r="H591">
        <v>117385</v>
      </c>
      <c r="I591">
        <v>793</v>
      </c>
      <c r="J591" t="s">
        <v>18</v>
      </c>
      <c r="K591">
        <v>4.2</v>
      </c>
      <c r="L591">
        <v>21.3</v>
      </c>
      <c r="M591" t="s">
        <v>23</v>
      </c>
      <c r="N591">
        <v>44643</v>
      </c>
    </row>
    <row r="592" spans="1:14" x14ac:dyDescent="0.35">
      <c r="A592" t="s">
        <v>632</v>
      </c>
      <c r="B592" t="s">
        <v>30</v>
      </c>
      <c r="C592" t="s">
        <v>22</v>
      </c>
      <c r="D592" t="s">
        <v>17</v>
      </c>
      <c r="E592">
        <v>684892</v>
      </c>
      <c r="F592">
        <v>6.29</v>
      </c>
      <c r="G592">
        <v>48</v>
      </c>
      <c r="H592">
        <v>208108</v>
      </c>
      <c r="I592">
        <v>693</v>
      </c>
      <c r="J592" t="s">
        <v>18</v>
      </c>
      <c r="K592">
        <v>3</v>
      </c>
      <c r="L592">
        <v>25.5</v>
      </c>
      <c r="M592" t="s">
        <v>19</v>
      </c>
      <c r="N592">
        <v>44486</v>
      </c>
    </row>
    <row r="593" spans="1:14" x14ac:dyDescent="0.35">
      <c r="A593" t="s">
        <v>633</v>
      </c>
      <c r="B593" t="s">
        <v>28</v>
      </c>
      <c r="C593" t="s">
        <v>22</v>
      </c>
      <c r="D593" t="s">
        <v>73</v>
      </c>
      <c r="E593">
        <v>658015</v>
      </c>
      <c r="F593">
        <v>8.7100000000000009</v>
      </c>
      <c r="G593">
        <v>60</v>
      </c>
      <c r="H593">
        <v>217603</v>
      </c>
      <c r="I593">
        <v>821</v>
      </c>
      <c r="J593" t="s">
        <v>18</v>
      </c>
      <c r="K593">
        <v>2.1</v>
      </c>
      <c r="L593">
        <v>18.5</v>
      </c>
      <c r="M593" t="s">
        <v>23</v>
      </c>
      <c r="N593">
        <v>44405</v>
      </c>
    </row>
    <row r="594" spans="1:14" x14ac:dyDescent="0.35">
      <c r="A594" t="s">
        <v>634</v>
      </c>
      <c r="B594" t="s">
        <v>30</v>
      </c>
      <c r="C594" t="s">
        <v>22</v>
      </c>
      <c r="D594" t="s">
        <v>45</v>
      </c>
      <c r="E594">
        <v>592515</v>
      </c>
      <c r="F594">
        <v>4.13</v>
      </c>
      <c r="G594">
        <v>24</v>
      </c>
      <c r="H594">
        <v>40940</v>
      </c>
      <c r="I594">
        <v>703</v>
      </c>
      <c r="J594" t="s">
        <v>26</v>
      </c>
      <c r="K594">
        <v>22.7</v>
      </c>
      <c r="L594">
        <v>14.6</v>
      </c>
      <c r="M594" t="s">
        <v>23</v>
      </c>
      <c r="N594">
        <v>44609</v>
      </c>
    </row>
    <row r="595" spans="1:14" x14ac:dyDescent="0.35">
      <c r="A595" t="s">
        <v>635</v>
      </c>
      <c r="B595" t="s">
        <v>30</v>
      </c>
      <c r="C595" t="s">
        <v>16</v>
      </c>
      <c r="D595" t="s">
        <v>45</v>
      </c>
      <c r="E595">
        <v>665327</v>
      </c>
      <c r="F595">
        <v>8.39</v>
      </c>
      <c r="G595">
        <v>240</v>
      </c>
      <c r="H595">
        <v>146027</v>
      </c>
      <c r="I595">
        <v>655</v>
      </c>
      <c r="J595" t="s">
        <v>26</v>
      </c>
      <c r="K595">
        <v>4.8</v>
      </c>
      <c r="L595">
        <v>35.6</v>
      </c>
      <c r="M595" t="s">
        <v>19</v>
      </c>
      <c r="N595">
        <v>44873</v>
      </c>
    </row>
    <row r="596" spans="1:14" x14ac:dyDescent="0.35">
      <c r="A596" t="s">
        <v>636</v>
      </c>
      <c r="B596" t="s">
        <v>83</v>
      </c>
      <c r="C596" t="s">
        <v>22</v>
      </c>
      <c r="D596" t="s">
        <v>17</v>
      </c>
      <c r="E596">
        <v>613577</v>
      </c>
      <c r="F596">
        <v>6.66</v>
      </c>
      <c r="G596">
        <v>24</v>
      </c>
      <c r="H596">
        <v>44932</v>
      </c>
      <c r="I596">
        <v>775</v>
      </c>
      <c r="J596" t="s">
        <v>18</v>
      </c>
      <c r="K596">
        <v>10.4</v>
      </c>
      <c r="L596">
        <v>28.6</v>
      </c>
      <c r="M596" t="s">
        <v>19</v>
      </c>
      <c r="N596">
        <v>45647</v>
      </c>
    </row>
    <row r="597" spans="1:14" x14ac:dyDescent="0.35">
      <c r="A597" t="s">
        <v>637</v>
      </c>
      <c r="B597" t="s">
        <v>15</v>
      </c>
      <c r="C597" t="s">
        <v>34</v>
      </c>
      <c r="D597" t="s">
        <v>32</v>
      </c>
      <c r="E597">
        <v>156094</v>
      </c>
      <c r="F597">
        <v>12.49</v>
      </c>
      <c r="G597">
        <v>24</v>
      </c>
      <c r="H597">
        <v>215899</v>
      </c>
      <c r="I597">
        <v>623</v>
      </c>
      <c r="J597" t="s">
        <v>18</v>
      </c>
      <c r="K597">
        <v>11.2</v>
      </c>
      <c r="L597">
        <v>16</v>
      </c>
      <c r="M597" t="s">
        <v>55</v>
      </c>
      <c r="N597">
        <v>45591</v>
      </c>
    </row>
    <row r="598" spans="1:14" x14ac:dyDescent="0.35">
      <c r="A598" t="s">
        <v>638</v>
      </c>
      <c r="B598" t="s">
        <v>28</v>
      </c>
      <c r="C598" t="s">
        <v>22</v>
      </c>
      <c r="D598" t="s">
        <v>32</v>
      </c>
      <c r="E598">
        <v>441679</v>
      </c>
      <c r="F598">
        <v>3.84</v>
      </c>
      <c r="G598">
        <v>300</v>
      </c>
      <c r="H598">
        <v>52648</v>
      </c>
      <c r="I598">
        <v>765</v>
      </c>
      <c r="J598" t="s">
        <v>26</v>
      </c>
      <c r="K598">
        <v>15</v>
      </c>
      <c r="L598">
        <v>20.8</v>
      </c>
      <c r="M598" t="s">
        <v>23</v>
      </c>
      <c r="N598">
        <v>44860</v>
      </c>
    </row>
    <row r="599" spans="1:14" x14ac:dyDescent="0.35">
      <c r="A599" t="s">
        <v>639</v>
      </c>
      <c r="B599" t="s">
        <v>30</v>
      </c>
      <c r="C599" t="s">
        <v>22</v>
      </c>
      <c r="D599" t="s">
        <v>43</v>
      </c>
      <c r="E599">
        <v>735031</v>
      </c>
      <c r="F599">
        <v>7.93</v>
      </c>
      <c r="G599">
        <v>48</v>
      </c>
      <c r="H599">
        <v>60966</v>
      </c>
      <c r="I599">
        <v>825</v>
      </c>
      <c r="J599" t="s">
        <v>39</v>
      </c>
      <c r="K599">
        <v>1.8</v>
      </c>
      <c r="L599">
        <v>31.7</v>
      </c>
      <c r="M599" t="s">
        <v>19</v>
      </c>
      <c r="N599">
        <v>44486</v>
      </c>
    </row>
    <row r="600" spans="1:14" x14ac:dyDescent="0.35">
      <c r="A600" t="s">
        <v>640</v>
      </c>
      <c r="B600" t="s">
        <v>30</v>
      </c>
      <c r="C600" t="s">
        <v>16</v>
      </c>
      <c r="D600" t="s">
        <v>32</v>
      </c>
      <c r="E600">
        <v>687773</v>
      </c>
      <c r="F600">
        <v>8.3800000000000008</v>
      </c>
      <c r="G600">
        <v>48</v>
      </c>
      <c r="H600">
        <v>186849</v>
      </c>
      <c r="I600">
        <v>663</v>
      </c>
      <c r="J600" t="s">
        <v>18</v>
      </c>
      <c r="K600">
        <v>5.7</v>
      </c>
      <c r="L600">
        <v>10.9</v>
      </c>
      <c r="M600" t="s">
        <v>19</v>
      </c>
      <c r="N600">
        <v>45652</v>
      </c>
    </row>
    <row r="601" spans="1:14" x14ac:dyDescent="0.35">
      <c r="A601" t="s">
        <v>641</v>
      </c>
      <c r="B601" t="s">
        <v>30</v>
      </c>
      <c r="C601" t="s">
        <v>16</v>
      </c>
      <c r="D601" t="s">
        <v>32</v>
      </c>
      <c r="E601">
        <v>507648</v>
      </c>
      <c r="F601">
        <v>11.39</v>
      </c>
      <c r="G601">
        <v>36</v>
      </c>
      <c r="H601">
        <v>191639</v>
      </c>
      <c r="I601">
        <v>786</v>
      </c>
      <c r="J601" t="s">
        <v>39</v>
      </c>
      <c r="K601">
        <v>23.3</v>
      </c>
      <c r="L601">
        <v>13.9</v>
      </c>
      <c r="M601" t="s">
        <v>23</v>
      </c>
      <c r="N601">
        <v>45488</v>
      </c>
    </row>
    <row r="602" spans="1:14" x14ac:dyDescent="0.35">
      <c r="A602" t="s">
        <v>642</v>
      </c>
      <c r="B602" t="s">
        <v>30</v>
      </c>
      <c r="C602" t="s">
        <v>22</v>
      </c>
      <c r="D602" t="s">
        <v>52</v>
      </c>
      <c r="E602">
        <v>484083</v>
      </c>
      <c r="F602">
        <v>9.69</v>
      </c>
      <c r="G602">
        <v>24</v>
      </c>
      <c r="H602">
        <v>176246</v>
      </c>
      <c r="I602">
        <v>730</v>
      </c>
      <c r="J602" t="s">
        <v>18</v>
      </c>
      <c r="K602">
        <v>22.7</v>
      </c>
      <c r="L602">
        <v>10.9</v>
      </c>
      <c r="M602" t="s">
        <v>19</v>
      </c>
      <c r="N602">
        <v>44347</v>
      </c>
    </row>
    <row r="603" spans="1:14" x14ac:dyDescent="0.35">
      <c r="A603" t="s">
        <v>643</v>
      </c>
      <c r="B603" t="s">
        <v>30</v>
      </c>
      <c r="C603" t="s">
        <v>22</v>
      </c>
      <c r="D603" t="s">
        <v>17</v>
      </c>
      <c r="E603">
        <v>350740</v>
      </c>
      <c r="F603">
        <v>10.74</v>
      </c>
      <c r="G603">
        <v>36</v>
      </c>
      <c r="H603">
        <v>70598</v>
      </c>
      <c r="I603">
        <v>735</v>
      </c>
      <c r="J603" t="s">
        <v>18</v>
      </c>
      <c r="K603">
        <v>19.5</v>
      </c>
      <c r="L603">
        <v>40.5</v>
      </c>
      <c r="M603" t="s">
        <v>23</v>
      </c>
      <c r="N603">
        <v>45475</v>
      </c>
    </row>
    <row r="604" spans="1:14" x14ac:dyDescent="0.35">
      <c r="A604" t="s">
        <v>644</v>
      </c>
      <c r="B604" t="s">
        <v>30</v>
      </c>
      <c r="C604" t="s">
        <v>22</v>
      </c>
      <c r="D604" t="s">
        <v>32</v>
      </c>
      <c r="E604">
        <v>410513</v>
      </c>
      <c r="F604">
        <v>11.98</v>
      </c>
      <c r="G604">
        <v>300</v>
      </c>
      <c r="H604">
        <v>218271</v>
      </c>
      <c r="I604">
        <v>595</v>
      </c>
      <c r="J604" t="s">
        <v>39</v>
      </c>
      <c r="K604">
        <v>0.5</v>
      </c>
      <c r="L604">
        <v>38.1</v>
      </c>
      <c r="M604" t="s">
        <v>48</v>
      </c>
      <c r="N604">
        <v>45573</v>
      </c>
    </row>
    <row r="605" spans="1:14" x14ac:dyDescent="0.35">
      <c r="A605" t="s">
        <v>645</v>
      </c>
      <c r="B605" t="s">
        <v>30</v>
      </c>
      <c r="C605" t="s">
        <v>16</v>
      </c>
      <c r="D605" t="s">
        <v>17</v>
      </c>
      <c r="E605">
        <v>73323</v>
      </c>
      <c r="F605">
        <v>12.94</v>
      </c>
      <c r="G605">
        <v>24</v>
      </c>
      <c r="H605">
        <v>172870</v>
      </c>
      <c r="I605">
        <v>744</v>
      </c>
      <c r="J605" t="s">
        <v>18</v>
      </c>
      <c r="K605">
        <v>8.1999999999999993</v>
      </c>
      <c r="L605">
        <v>38.1</v>
      </c>
      <c r="M605" t="s">
        <v>23</v>
      </c>
      <c r="N605">
        <v>45597</v>
      </c>
    </row>
    <row r="606" spans="1:14" x14ac:dyDescent="0.35">
      <c r="A606" t="s">
        <v>646</v>
      </c>
      <c r="B606" t="s">
        <v>30</v>
      </c>
      <c r="C606" t="s">
        <v>16</v>
      </c>
      <c r="D606" t="s">
        <v>38</v>
      </c>
      <c r="E606">
        <v>290960</v>
      </c>
      <c r="F606">
        <v>6.75</v>
      </c>
      <c r="G606">
        <v>36</v>
      </c>
      <c r="H606">
        <v>176630</v>
      </c>
      <c r="I606">
        <v>724</v>
      </c>
      <c r="J606" t="s">
        <v>18</v>
      </c>
      <c r="K606">
        <v>15.7</v>
      </c>
      <c r="L606">
        <v>36.700000000000003</v>
      </c>
      <c r="M606" t="s">
        <v>19</v>
      </c>
      <c r="N606">
        <v>45051</v>
      </c>
    </row>
    <row r="607" spans="1:14" x14ac:dyDescent="0.35">
      <c r="A607" t="s">
        <v>647</v>
      </c>
      <c r="B607" t="s">
        <v>15</v>
      </c>
      <c r="C607" t="s">
        <v>22</v>
      </c>
      <c r="D607" t="s">
        <v>73</v>
      </c>
      <c r="E607">
        <v>569983</v>
      </c>
      <c r="F607">
        <v>9.2799999999999994</v>
      </c>
      <c r="G607">
        <v>36</v>
      </c>
      <c r="H607">
        <v>89084</v>
      </c>
      <c r="I607">
        <v>616</v>
      </c>
      <c r="J607" t="s">
        <v>18</v>
      </c>
      <c r="K607">
        <v>6.9</v>
      </c>
      <c r="L607">
        <v>34.799999999999997</v>
      </c>
      <c r="M607" t="s">
        <v>23</v>
      </c>
      <c r="N607">
        <v>45578</v>
      </c>
    </row>
    <row r="608" spans="1:14" x14ac:dyDescent="0.35">
      <c r="A608" t="s">
        <v>648</v>
      </c>
      <c r="B608" t="s">
        <v>30</v>
      </c>
      <c r="C608" t="s">
        <v>34</v>
      </c>
      <c r="D608" t="s">
        <v>17</v>
      </c>
      <c r="E608">
        <v>417918</v>
      </c>
      <c r="F608">
        <v>12.69</v>
      </c>
      <c r="G608">
        <v>60</v>
      </c>
      <c r="H608">
        <v>203309</v>
      </c>
      <c r="I608">
        <v>624</v>
      </c>
      <c r="J608" t="s">
        <v>39</v>
      </c>
      <c r="K608">
        <v>22.7</v>
      </c>
      <c r="L608">
        <v>27.1</v>
      </c>
      <c r="M608" t="s">
        <v>48</v>
      </c>
      <c r="N608">
        <v>44804</v>
      </c>
    </row>
    <row r="609" spans="1:14" x14ac:dyDescent="0.35">
      <c r="A609" t="s">
        <v>649</v>
      </c>
      <c r="B609" t="s">
        <v>15</v>
      </c>
      <c r="C609" t="s">
        <v>34</v>
      </c>
      <c r="D609" t="s">
        <v>43</v>
      </c>
      <c r="E609">
        <v>423458</v>
      </c>
      <c r="F609">
        <v>14.38</v>
      </c>
      <c r="G609">
        <v>36</v>
      </c>
      <c r="H609">
        <v>159250</v>
      </c>
      <c r="I609">
        <v>785</v>
      </c>
      <c r="J609" t="s">
        <v>26</v>
      </c>
      <c r="K609">
        <v>15.8</v>
      </c>
      <c r="L609">
        <v>33.700000000000003</v>
      </c>
      <c r="M609" t="s">
        <v>23</v>
      </c>
      <c r="N609">
        <v>44566</v>
      </c>
    </row>
    <row r="610" spans="1:14" x14ac:dyDescent="0.35">
      <c r="A610" t="s">
        <v>650</v>
      </c>
      <c r="B610" t="s">
        <v>15</v>
      </c>
      <c r="C610" t="s">
        <v>16</v>
      </c>
      <c r="D610" t="s">
        <v>17</v>
      </c>
      <c r="E610">
        <v>60841</v>
      </c>
      <c r="F610">
        <v>13.25</v>
      </c>
      <c r="G610">
        <v>48</v>
      </c>
      <c r="H610">
        <v>45118</v>
      </c>
      <c r="I610">
        <v>641</v>
      </c>
      <c r="J610" t="s">
        <v>18</v>
      </c>
      <c r="K610">
        <v>1.8</v>
      </c>
      <c r="L610">
        <v>9.5</v>
      </c>
      <c r="M610" t="s">
        <v>48</v>
      </c>
      <c r="N610">
        <v>45447</v>
      </c>
    </row>
    <row r="611" spans="1:14" x14ac:dyDescent="0.35">
      <c r="A611" t="s">
        <v>651</v>
      </c>
      <c r="B611" t="s">
        <v>28</v>
      </c>
      <c r="C611" t="s">
        <v>34</v>
      </c>
      <c r="D611" t="s">
        <v>73</v>
      </c>
      <c r="E611">
        <v>395642</v>
      </c>
      <c r="F611">
        <v>7.4</v>
      </c>
      <c r="G611">
        <v>36</v>
      </c>
      <c r="H611">
        <v>50616</v>
      </c>
      <c r="I611">
        <v>598</v>
      </c>
      <c r="J611" t="s">
        <v>18</v>
      </c>
      <c r="K611">
        <v>22.7</v>
      </c>
      <c r="L611">
        <v>32.9</v>
      </c>
      <c r="M611" t="s">
        <v>55</v>
      </c>
      <c r="N611">
        <v>44901</v>
      </c>
    </row>
    <row r="612" spans="1:14" x14ac:dyDescent="0.35">
      <c r="A612" t="s">
        <v>652</v>
      </c>
      <c r="B612" t="s">
        <v>30</v>
      </c>
      <c r="C612" t="s">
        <v>22</v>
      </c>
      <c r="D612" t="s">
        <v>38</v>
      </c>
      <c r="E612">
        <v>203784</v>
      </c>
      <c r="F612">
        <v>5.41</v>
      </c>
      <c r="G612">
        <v>24</v>
      </c>
      <c r="H612">
        <v>159870</v>
      </c>
      <c r="I612">
        <v>586</v>
      </c>
      <c r="J612" t="s">
        <v>18</v>
      </c>
      <c r="K612">
        <v>23.9</v>
      </c>
      <c r="L612">
        <v>39.1</v>
      </c>
      <c r="M612" t="s">
        <v>23</v>
      </c>
      <c r="N612">
        <v>45523</v>
      </c>
    </row>
    <row r="613" spans="1:14" x14ac:dyDescent="0.35">
      <c r="A613" t="s">
        <v>653</v>
      </c>
      <c r="B613" t="s">
        <v>25</v>
      </c>
      <c r="C613" t="s">
        <v>22</v>
      </c>
      <c r="D613" t="s">
        <v>38</v>
      </c>
      <c r="E613">
        <v>112096</v>
      </c>
      <c r="F613">
        <v>8.73</v>
      </c>
      <c r="G613">
        <v>36</v>
      </c>
      <c r="H613">
        <v>35601</v>
      </c>
      <c r="I613">
        <v>828</v>
      </c>
      <c r="J613" t="s">
        <v>18</v>
      </c>
      <c r="K613">
        <v>1.9</v>
      </c>
      <c r="L613">
        <v>28</v>
      </c>
      <c r="M613" t="s">
        <v>55</v>
      </c>
      <c r="N613">
        <v>45022</v>
      </c>
    </row>
    <row r="614" spans="1:14" x14ac:dyDescent="0.35">
      <c r="A614" t="s">
        <v>654</v>
      </c>
      <c r="B614" t="s">
        <v>28</v>
      </c>
      <c r="C614" t="s">
        <v>22</v>
      </c>
      <c r="D614" t="s">
        <v>17</v>
      </c>
      <c r="E614">
        <v>97764</v>
      </c>
      <c r="F614">
        <v>11.58</v>
      </c>
      <c r="G614">
        <v>12</v>
      </c>
      <c r="H614">
        <v>53363</v>
      </c>
      <c r="I614">
        <v>696</v>
      </c>
      <c r="J614" t="s">
        <v>18</v>
      </c>
      <c r="K614">
        <v>13.3</v>
      </c>
      <c r="L614">
        <v>22.3</v>
      </c>
      <c r="M614" t="s">
        <v>48</v>
      </c>
      <c r="N614">
        <v>45201</v>
      </c>
    </row>
    <row r="615" spans="1:14" x14ac:dyDescent="0.35">
      <c r="A615" t="s">
        <v>655</v>
      </c>
      <c r="B615" t="s">
        <v>30</v>
      </c>
      <c r="C615" t="s">
        <v>22</v>
      </c>
      <c r="D615" t="s">
        <v>52</v>
      </c>
      <c r="E615">
        <v>451790</v>
      </c>
      <c r="F615">
        <v>8.77</v>
      </c>
      <c r="G615">
        <v>120</v>
      </c>
      <c r="H615">
        <v>30795</v>
      </c>
      <c r="I615">
        <v>647</v>
      </c>
      <c r="J615" t="s">
        <v>26</v>
      </c>
      <c r="K615">
        <v>7.6</v>
      </c>
      <c r="L615">
        <v>19.100000000000001</v>
      </c>
      <c r="M615" t="s">
        <v>23</v>
      </c>
      <c r="N615">
        <v>45609</v>
      </c>
    </row>
    <row r="616" spans="1:14" x14ac:dyDescent="0.35">
      <c r="A616" t="s">
        <v>656</v>
      </c>
      <c r="B616" t="s">
        <v>37</v>
      </c>
      <c r="C616" t="s">
        <v>16</v>
      </c>
      <c r="D616" t="s">
        <v>38</v>
      </c>
      <c r="E616">
        <v>615032</v>
      </c>
      <c r="F616">
        <v>8.66</v>
      </c>
      <c r="G616">
        <v>24</v>
      </c>
      <c r="H616">
        <v>125462</v>
      </c>
      <c r="I616">
        <v>613</v>
      </c>
      <c r="J616" t="s">
        <v>18</v>
      </c>
      <c r="K616">
        <v>9.8000000000000007</v>
      </c>
      <c r="L616">
        <v>33.700000000000003</v>
      </c>
      <c r="M616" t="s">
        <v>23</v>
      </c>
      <c r="N616">
        <v>44573</v>
      </c>
    </row>
    <row r="617" spans="1:14" x14ac:dyDescent="0.35">
      <c r="A617" t="s">
        <v>657</v>
      </c>
      <c r="B617" t="s">
        <v>71</v>
      </c>
      <c r="C617" t="s">
        <v>34</v>
      </c>
      <c r="D617" t="s">
        <v>17</v>
      </c>
      <c r="E617">
        <v>538459</v>
      </c>
      <c r="F617">
        <v>12.67</v>
      </c>
      <c r="G617">
        <v>12</v>
      </c>
      <c r="H617">
        <v>204336</v>
      </c>
      <c r="I617">
        <v>773</v>
      </c>
      <c r="J617" t="s">
        <v>18</v>
      </c>
      <c r="K617">
        <v>4.5</v>
      </c>
      <c r="L617">
        <v>35.700000000000003</v>
      </c>
      <c r="M617" t="s">
        <v>19</v>
      </c>
      <c r="N617">
        <v>45169</v>
      </c>
    </row>
    <row r="618" spans="1:14" x14ac:dyDescent="0.35">
      <c r="A618" t="s">
        <v>658</v>
      </c>
      <c r="B618" t="s">
        <v>30</v>
      </c>
      <c r="C618" t="s">
        <v>22</v>
      </c>
      <c r="D618" t="s">
        <v>43</v>
      </c>
      <c r="E618">
        <v>630043</v>
      </c>
      <c r="F618">
        <v>7.28</v>
      </c>
      <c r="G618">
        <v>300</v>
      </c>
      <c r="H618">
        <v>130892</v>
      </c>
      <c r="I618">
        <v>634</v>
      </c>
      <c r="J618" t="s">
        <v>18</v>
      </c>
      <c r="K618">
        <v>14.5</v>
      </c>
      <c r="L618">
        <v>42.8</v>
      </c>
      <c r="M618" t="s">
        <v>23</v>
      </c>
      <c r="N618">
        <v>44314</v>
      </c>
    </row>
    <row r="619" spans="1:14" x14ac:dyDescent="0.35">
      <c r="A619" t="s">
        <v>659</v>
      </c>
      <c r="B619" t="s">
        <v>30</v>
      </c>
      <c r="C619" t="s">
        <v>22</v>
      </c>
      <c r="D619" t="s">
        <v>17</v>
      </c>
      <c r="E619">
        <v>497148</v>
      </c>
      <c r="F619">
        <v>12.92</v>
      </c>
      <c r="G619">
        <v>24</v>
      </c>
      <c r="H619">
        <v>100833</v>
      </c>
      <c r="I619">
        <v>845</v>
      </c>
      <c r="J619" t="s">
        <v>18</v>
      </c>
      <c r="K619">
        <v>23.9</v>
      </c>
      <c r="L619">
        <v>21.7</v>
      </c>
      <c r="M619" t="s">
        <v>23</v>
      </c>
      <c r="N619">
        <v>45225</v>
      </c>
    </row>
    <row r="620" spans="1:14" x14ac:dyDescent="0.35">
      <c r="A620" t="s">
        <v>660</v>
      </c>
      <c r="B620" t="s">
        <v>25</v>
      </c>
      <c r="C620" t="s">
        <v>22</v>
      </c>
      <c r="D620" t="s">
        <v>43</v>
      </c>
      <c r="E620">
        <v>637413</v>
      </c>
      <c r="F620">
        <v>7.8</v>
      </c>
      <c r="G620">
        <v>48</v>
      </c>
      <c r="H620">
        <v>31084</v>
      </c>
      <c r="I620">
        <v>621</v>
      </c>
      <c r="J620" t="s">
        <v>39</v>
      </c>
      <c r="K620">
        <v>12.6</v>
      </c>
      <c r="L620">
        <v>38.799999999999997</v>
      </c>
      <c r="M620" t="s">
        <v>23</v>
      </c>
      <c r="N620">
        <v>44640</v>
      </c>
    </row>
    <row r="621" spans="1:14" x14ac:dyDescent="0.35">
      <c r="A621" t="s">
        <v>661</v>
      </c>
      <c r="B621" t="s">
        <v>25</v>
      </c>
      <c r="C621" t="s">
        <v>34</v>
      </c>
      <c r="D621" t="s">
        <v>17</v>
      </c>
      <c r="E621">
        <v>373226</v>
      </c>
      <c r="F621">
        <v>6.91</v>
      </c>
      <c r="G621">
        <v>120</v>
      </c>
      <c r="H621">
        <v>123865</v>
      </c>
      <c r="I621">
        <v>810</v>
      </c>
      <c r="J621" t="s">
        <v>18</v>
      </c>
      <c r="K621">
        <v>2.1</v>
      </c>
      <c r="L621">
        <v>30.5</v>
      </c>
      <c r="M621" t="s">
        <v>23</v>
      </c>
      <c r="N621">
        <v>45572</v>
      </c>
    </row>
    <row r="622" spans="1:14" x14ac:dyDescent="0.35">
      <c r="A622" t="s">
        <v>662</v>
      </c>
      <c r="B622" t="s">
        <v>30</v>
      </c>
      <c r="C622" t="s">
        <v>22</v>
      </c>
      <c r="D622" t="s">
        <v>38</v>
      </c>
      <c r="E622">
        <v>8696</v>
      </c>
      <c r="F622">
        <v>8.33</v>
      </c>
      <c r="G622">
        <v>120</v>
      </c>
      <c r="H622">
        <v>28731</v>
      </c>
      <c r="I622">
        <v>589</v>
      </c>
      <c r="J622" t="s">
        <v>18</v>
      </c>
      <c r="K622">
        <v>15.5</v>
      </c>
      <c r="L622">
        <v>43.3</v>
      </c>
      <c r="M622" t="s">
        <v>23</v>
      </c>
      <c r="N622">
        <v>44951</v>
      </c>
    </row>
    <row r="623" spans="1:14" x14ac:dyDescent="0.35">
      <c r="A623" t="s">
        <v>663</v>
      </c>
      <c r="B623" t="s">
        <v>30</v>
      </c>
      <c r="C623" t="s">
        <v>16</v>
      </c>
      <c r="D623" t="s">
        <v>32</v>
      </c>
      <c r="E623">
        <v>131310</v>
      </c>
      <c r="F623">
        <v>11.82</v>
      </c>
      <c r="G623">
        <v>48</v>
      </c>
      <c r="H623">
        <v>160201</v>
      </c>
      <c r="I623">
        <v>707</v>
      </c>
      <c r="J623" t="s">
        <v>18</v>
      </c>
      <c r="K623">
        <v>8.5</v>
      </c>
      <c r="L623">
        <v>29.1</v>
      </c>
      <c r="M623" t="s">
        <v>23</v>
      </c>
      <c r="N623">
        <v>44836</v>
      </c>
    </row>
    <row r="624" spans="1:14" x14ac:dyDescent="0.35">
      <c r="A624" t="s">
        <v>664</v>
      </c>
      <c r="B624" t="s">
        <v>15</v>
      </c>
      <c r="C624" t="s">
        <v>22</v>
      </c>
      <c r="D624" t="s">
        <v>17</v>
      </c>
      <c r="E624">
        <v>680673</v>
      </c>
      <c r="F624">
        <v>4.62</v>
      </c>
      <c r="G624">
        <v>120</v>
      </c>
      <c r="H624">
        <v>187094</v>
      </c>
      <c r="I624">
        <v>758</v>
      </c>
      <c r="J624" t="s">
        <v>18</v>
      </c>
      <c r="K624">
        <v>21.4</v>
      </c>
      <c r="L624">
        <v>28.7</v>
      </c>
      <c r="M624" t="s">
        <v>55</v>
      </c>
      <c r="N624">
        <v>44320</v>
      </c>
    </row>
    <row r="625" spans="1:14" x14ac:dyDescent="0.35">
      <c r="A625" t="s">
        <v>665</v>
      </c>
      <c r="B625" t="s">
        <v>15</v>
      </c>
      <c r="C625" t="s">
        <v>22</v>
      </c>
      <c r="D625" t="s">
        <v>17</v>
      </c>
      <c r="E625">
        <v>50740</v>
      </c>
      <c r="F625">
        <v>5.42</v>
      </c>
      <c r="G625">
        <v>48</v>
      </c>
      <c r="H625">
        <v>29605</v>
      </c>
      <c r="I625">
        <v>772</v>
      </c>
      <c r="J625" t="s">
        <v>18</v>
      </c>
      <c r="K625">
        <v>10.9</v>
      </c>
      <c r="L625">
        <v>31.1</v>
      </c>
      <c r="M625" t="s">
        <v>19</v>
      </c>
      <c r="N625">
        <v>44854</v>
      </c>
    </row>
    <row r="626" spans="1:14" x14ac:dyDescent="0.35">
      <c r="A626" t="s">
        <v>666</v>
      </c>
      <c r="B626" t="s">
        <v>28</v>
      </c>
      <c r="C626" t="s">
        <v>34</v>
      </c>
      <c r="D626" t="s">
        <v>17</v>
      </c>
      <c r="E626">
        <v>111611</v>
      </c>
      <c r="F626">
        <v>13.95</v>
      </c>
      <c r="G626">
        <v>12</v>
      </c>
      <c r="H626">
        <v>105506</v>
      </c>
      <c r="I626">
        <v>671</v>
      </c>
      <c r="J626" t="s">
        <v>18</v>
      </c>
      <c r="K626">
        <v>4.8</v>
      </c>
      <c r="L626">
        <v>38</v>
      </c>
      <c r="M626" t="s">
        <v>23</v>
      </c>
      <c r="N626">
        <v>45497</v>
      </c>
    </row>
    <row r="627" spans="1:14" x14ac:dyDescent="0.35">
      <c r="A627" t="s">
        <v>667</v>
      </c>
      <c r="B627" t="s">
        <v>15</v>
      </c>
      <c r="C627" t="s">
        <v>34</v>
      </c>
      <c r="D627" t="s">
        <v>32</v>
      </c>
      <c r="E627">
        <v>403172</v>
      </c>
      <c r="F627">
        <v>5.18</v>
      </c>
      <c r="G627">
        <v>300</v>
      </c>
      <c r="H627">
        <v>72130</v>
      </c>
      <c r="I627">
        <v>810</v>
      </c>
      <c r="J627" t="s">
        <v>18</v>
      </c>
      <c r="K627">
        <v>4.8</v>
      </c>
      <c r="L627">
        <v>46.6</v>
      </c>
      <c r="M627" t="s">
        <v>19</v>
      </c>
      <c r="N627">
        <v>45018</v>
      </c>
    </row>
    <row r="628" spans="1:14" x14ac:dyDescent="0.35">
      <c r="A628" t="s">
        <v>668</v>
      </c>
      <c r="B628" t="s">
        <v>15</v>
      </c>
      <c r="C628" t="s">
        <v>22</v>
      </c>
      <c r="D628" t="s">
        <v>17</v>
      </c>
      <c r="E628">
        <v>473947</v>
      </c>
      <c r="F628">
        <v>9.6199999999999992</v>
      </c>
      <c r="G628">
        <v>60</v>
      </c>
      <c r="H628">
        <v>188337</v>
      </c>
      <c r="I628">
        <v>657</v>
      </c>
      <c r="J628" t="s">
        <v>18</v>
      </c>
      <c r="K628">
        <v>19.2</v>
      </c>
      <c r="L628">
        <v>10.9</v>
      </c>
      <c r="M628" t="s">
        <v>19</v>
      </c>
      <c r="N628">
        <v>45614</v>
      </c>
    </row>
    <row r="629" spans="1:14" x14ac:dyDescent="0.35">
      <c r="A629" t="s">
        <v>669</v>
      </c>
      <c r="B629" t="s">
        <v>25</v>
      </c>
      <c r="C629" t="s">
        <v>34</v>
      </c>
      <c r="D629" t="s">
        <v>45</v>
      </c>
      <c r="E629">
        <v>480828</v>
      </c>
      <c r="F629">
        <v>9.75</v>
      </c>
      <c r="G629">
        <v>24</v>
      </c>
      <c r="H629">
        <v>191402</v>
      </c>
      <c r="I629">
        <v>664</v>
      </c>
      <c r="J629" t="s">
        <v>18</v>
      </c>
      <c r="K629">
        <v>6.6</v>
      </c>
      <c r="L629">
        <v>10.1</v>
      </c>
      <c r="M629" t="s">
        <v>48</v>
      </c>
      <c r="N629">
        <v>44860</v>
      </c>
    </row>
    <row r="630" spans="1:14" x14ac:dyDescent="0.35">
      <c r="A630" t="s">
        <v>670</v>
      </c>
      <c r="B630" t="s">
        <v>30</v>
      </c>
      <c r="C630" t="s">
        <v>16</v>
      </c>
      <c r="D630" t="s">
        <v>17</v>
      </c>
      <c r="E630">
        <v>333785</v>
      </c>
      <c r="F630">
        <v>8.73</v>
      </c>
      <c r="G630">
        <v>48</v>
      </c>
      <c r="H630">
        <v>96469</v>
      </c>
      <c r="I630">
        <v>609</v>
      </c>
      <c r="J630" t="s">
        <v>18</v>
      </c>
      <c r="K630">
        <v>19.2</v>
      </c>
      <c r="L630">
        <v>45.5</v>
      </c>
      <c r="M630" t="s">
        <v>23</v>
      </c>
      <c r="N630">
        <v>44556</v>
      </c>
    </row>
    <row r="631" spans="1:14" x14ac:dyDescent="0.35">
      <c r="A631" t="s">
        <v>671</v>
      </c>
      <c r="B631" t="s">
        <v>30</v>
      </c>
      <c r="C631" t="s">
        <v>34</v>
      </c>
      <c r="D631" t="s">
        <v>17</v>
      </c>
      <c r="E631">
        <v>593099</v>
      </c>
      <c r="F631">
        <v>10.49</v>
      </c>
      <c r="G631">
        <v>24</v>
      </c>
      <c r="H631">
        <v>174259</v>
      </c>
      <c r="I631">
        <v>792</v>
      </c>
      <c r="J631" t="s">
        <v>35</v>
      </c>
      <c r="K631">
        <v>5.0999999999999996</v>
      </c>
      <c r="L631">
        <v>29.2</v>
      </c>
      <c r="M631" t="s">
        <v>23</v>
      </c>
      <c r="N631">
        <v>44819</v>
      </c>
    </row>
    <row r="632" spans="1:14" x14ac:dyDescent="0.35">
      <c r="A632" t="s">
        <v>672</v>
      </c>
      <c r="B632" t="s">
        <v>28</v>
      </c>
      <c r="C632" t="s">
        <v>22</v>
      </c>
      <c r="D632" t="s">
        <v>38</v>
      </c>
      <c r="E632">
        <v>450376</v>
      </c>
      <c r="F632">
        <v>5.8</v>
      </c>
      <c r="G632">
        <v>300</v>
      </c>
      <c r="H632">
        <v>184863</v>
      </c>
      <c r="I632">
        <v>628</v>
      </c>
      <c r="J632" t="s">
        <v>18</v>
      </c>
      <c r="K632">
        <v>8</v>
      </c>
      <c r="L632">
        <v>32.6</v>
      </c>
      <c r="M632" t="s">
        <v>48</v>
      </c>
      <c r="N632">
        <v>45277</v>
      </c>
    </row>
    <row r="633" spans="1:14" x14ac:dyDescent="0.35">
      <c r="A633" t="s">
        <v>673</v>
      </c>
      <c r="B633" t="s">
        <v>83</v>
      </c>
      <c r="C633" t="s">
        <v>16</v>
      </c>
      <c r="D633" t="s">
        <v>17</v>
      </c>
      <c r="E633">
        <v>711673</v>
      </c>
      <c r="F633">
        <v>9.4499999999999993</v>
      </c>
      <c r="G633">
        <v>12</v>
      </c>
      <c r="H633">
        <v>118436</v>
      </c>
      <c r="I633">
        <v>844</v>
      </c>
      <c r="J633" t="s">
        <v>18</v>
      </c>
      <c r="K633">
        <v>11.6</v>
      </c>
      <c r="L633">
        <v>27.3</v>
      </c>
      <c r="M633" t="s">
        <v>48</v>
      </c>
      <c r="N633">
        <v>45471</v>
      </c>
    </row>
    <row r="634" spans="1:14" x14ac:dyDescent="0.35">
      <c r="A634" t="s">
        <v>674</v>
      </c>
      <c r="B634" t="s">
        <v>15</v>
      </c>
      <c r="C634" t="s">
        <v>22</v>
      </c>
      <c r="D634" t="s">
        <v>73</v>
      </c>
      <c r="E634">
        <v>592520</v>
      </c>
      <c r="F634">
        <v>7.41</v>
      </c>
      <c r="G634">
        <v>60</v>
      </c>
      <c r="H634">
        <v>140341</v>
      </c>
      <c r="I634">
        <v>724</v>
      </c>
      <c r="J634" t="s">
        <v>18</v>
      </c>
      <c r="K634">
        <v>23.6</v>
      </c>
      <c r="L634">
        <v>11.7</v>
      </c>
      <c r="M634" t="s">
        <v>19</v>
      </c>
      <c r="N634">
        <v>45115</v>
      </c>
    </row>
    <row r="635" spans="1:14" x14ac:dyDescent="0.35">
      <c r="A635" t="s">
        <v>675</v>
      </c>
      <c r="B635" t="s">
        <v>15</v>
      </c>
      <c r="C635" t="s">
        <v>16</v>
      </c>
      <c r="D635" t="s">
        <v>43</v>
      </c>
      <c r="E635">
        <v>685089</v>
      </c>
      <c r="F635">
        <v>10.68</v>
      </c>
      <c r="G635">
        <v>300</v>
      </c>
      <c r="H635">
        <v>198939</v>
      </c>
      <c r="I635">
        <v>648</v>
      </c>
      <c r="J635" t="s">
        <v>18</v>
      </c>
      <c r="K635">
        <v>23.3</v>
      </c>
      <c r="L635">
        <v>38.700000000000003</v>
      </c>
      <c r="M635" t="s">
        <v>19</v>
      </c>
      <c r="N635">
        <v>45370</v>
      </c>
    </row>
    <row r="636" spans="1:14" x14ac:dyDescent="0.35">
      <c r="A636" t="s">
        <v>676</v>
      </c>
      <c r="B636" t="s">
        <v>30</v>
      </c>
      <c r="C636" t="s">
        <v>22</v>
      </c>
      <c r="D636" t="s">
        <v>45</v>
      </c>
      <c r="E636">
        <v>117492</v>
      </c>
      <c r="F636">
        <v>4.8</v>
      </c>
      <c r="G636">
        <v>12</v>
      </c>
      <c r="H636">
        <v>159965</v>
      </c>
      <c r="I636">
        <v>637</v>
      </c>
      <c r="J636" t="s">
        <v>26</v>
      </c>
      <c r="K636">
        <v>5.2</v>
      </c>
      <c r="L636">
        <v>37.9</v>
      </c>
      <c r="M636" t="s">
        <v>23</v>
      </c>
      <c r="N636">
        <v>44648</v>
      </c>
    </row>
    <row r="637" spans="1:14" x14ac:dyDescent="0.35">
      <c r="A637" t="s">
        <v>677</v>
      </c>
      <c r="B637" t="s">
        <v>15</v>
      </c>
      <c r="C637" t="s">
        <v>22</v>
      </c>
      <c r="D637" t="s">
        <v>45</v>
      </c>
      <c r="E637">
        <v>35099</v>
      </c>
      <c r="F637">
        <v>9.65</v>
      </c>
      <c r="G637">
        <v>120</v>
      </c>
      <c r="H637">
        <v>127694</v>
      </c>
      <c r="I637">
        <v>764</v>
      </c>
      <c r="J637" t="s">
        <v>18</v>
      </c>
      <c r="K637">
        <v>9</v>
      </c>
      <c r="L637">
        <v>20.5</v>
      </c>
      <c r="M637" t="s">
        <v>23</v>
      </c>
      <c r="N637">
        <v>45382</v>
      </c>
    </row>
    <row r="638" spans="1:14" x14ac:dyDescent="0.35">
      <c r="A638" t="s">
        <v>678</v>
      </c>
      <c r="B638" t="s">
        <v>15</v>
      </c>
      <c r="C638" t="s">
        <v>22</v>
      </c>
      <c r="D638" t="s">
        <v>73</v>
      </c>
      <c r="E638">
        <v>428177</v>
      </c>
      <c r="F638">
        <v>5.29</v>
      </c>
      <c r="G638">
        <v>24</v>
      </c>
      <c r="H638">
        <v>47773</v>
      </c>
      <c r="I638">
        <v>641</v>
      </c>
      <c r="J638" t="s">
        <v>26</v>
      </c>
      <c r="K638">
        <v>3.7</v>
      </c>
      <c r="L638">
        <v>20.2</v>
      </c>
      <c r="M638" t="s">
        <v>23</v>
      </c>
      <c r="N638">
        <v>44316</v>
      </c>
    </row>
    <row r="639" spans="1:14" x14ac:dyDescent="0.35">
      <c r="A639" t="s">
        <v>679</v>
      </c>
      <c r="B639" t="s">
        <v>30</v>
      </c>
      <c r="C639" t="s">
        <v>16</v>
      </c>
      <c r="D639" t="s">
        <v>17</v>
      </c>
      <c r="E639">
        <v>647762</v>
      </c>
      <c r="F639">
        <v>6.35</v>
      </c>
      <c r="G639">
        <v>240</v>
      </c>
      <c r="H639">
        <v>32239</v>
      </c>
      <c r="I639">
        <v>745</v>
      </c>
      <c r="J639" t="s">
        <v>18</v>
      </c>
      <c r="K639">
        <v>12.7</v>
      </c>
      <c r="L639">
        <v>41.5</v>
      </c>
      <c r="M639" t="s">
        <v>23</v>
      </c>
      <c r="N639">
        <v>44778</v>
      </c>
    </row>
    <row r="640" spans="1:14" x14ac:dyDescent="0.35">
      <c r="A640" t="s">
        <v>680</v>
      </c>
      <c r="B640" t="s">
        <v>30</v>
      </c>
      <c r="C640" t="s">
        <v>22</v>
      </c>
      <c r="D640" t="s">
        <v>17</v>
      </c>
      <c r="E640">
        <v>276400</v>
      </c>
      <c r="F640">
        <v>5.67</v>
      </c>
      <c r="G640">
        <v>60</v>
      </c>
      <c r="H640">
        <v>48863</v>
      </c>
      <c r="I640">
        <v>750</v>
      </c>
      <c r="J640" t="s">
        <v>18</v>
      </c>
      <c r="K640">
        <v>11.5</v>
      </c>
      <c r="L640">
        <v>10.9</v>
      </c>
      <c r="M640" t="s">
        <v>55</v>
      </c>
      <c r="N640">
        <v>45571</v>
      </c>
    </row>
    <row r="641" spans="1:14" x14ac:dyDescent="0.35">
      <c r="A641" t="s">
        <v>681</v>
      </c>
      <c r="B641" t="s">
        <v>15</v>
      </c>
      <c r="C641" t="s">
        <v>16</v>
      </c>
      <c r="D641" t="s">
        <v>17</v>
      </c>
      <c r="E641">
        <v>484336</v>
      </c>
      <c r="F641">
        <v>5.27</v>
      </c>
      <c r="G641">
        <v>120</v>
      </c>
      <c r="H641">
        <v>79415</v>
      </c>
      <c r="I641">
        <v>642</v>
      </c>
      <c r="J641" t="s">
        <v>26</v>
      </c>
      <c r="K641">
        <v>22.5</v>
      </c>
      <c r="L641">
        <v>43.2</v>
      </c>
      <c r="M641" t="s">
        <v>23</v>
      </c>
      <c r="N641">
        <v>44295</v>
      </c>
    </row>
    <row r="642" spans="1:14" x14ac:dyDescent="0.35">
      <c r="A642" t="s">
        <v>682</v>
      </c>
      <c r="B642" t="s">
        <v>30</v>
      </c>
      <c r="C642" t="s">
        <v>34</v>
      </c>
      <c r="D642" t="s">
        <v>38</v>
      </c>
      <c r="E642">
        <v>563969</v>
      </c>
      <c r="F642">
        <v>12.53</v>
      </c>
      <c r="G642">
        <v>300</v>
      </c>
      <c r="H642">
        <v>96968</v>
      </c>
      <c r="I642">
        <v>726</v>
      </c>
      <c r="J642" t="s">
        <v>18</v>
      </c>
      <c r="K642">
        <v>23.3</v>
      </c>
      <c r="L642">
        <v>18.3</v>
      </c>
      <c r="M642" t="s">
        <v>23</v>
      </c>
      <c r="N642">
        <v>45387</v>
      </c>
    </row>
    <row r="643" spans="1:14" x14ac:dyDescent="0.35">
      <c r="A643" t="s">
        <v>683</v>
      </c>
      <c r="B643" t="s">
        <v>30</v>
      </c>
      <c r="C643" t="s">
        <v>22</v>
      </c>
      <c r="D643" t="s">
        <v>17</v>
      </c>
      <c r="E643">
        <v>96328</v>
      </c>
      <c r="F643">
        <v>6.43</v>
      </c>
      <c r="G643">
        <v>60</v>
      </c>
      <c r="H643">
        <v>88430</v>
      </c>
      <c r="I643">
        <v>740</v>
      </c>
      <c r="J643" t="s">
        <v>18</v>
      </c>
      <c r="K643">
        <v>9.6</v>
      </c>
      <c r="L643">
        <v>31.7</v>
      </c>
      <c r="M643" t="s">
        <v>48</v>
      </c>
      <c r="N643">
        <v>44710</v>
      </c>
    </row>
    <row r="644" spans="1:14" x14ac:dyDescent="0.35">
      <c r="A644" t="s">
        <v>684</v>
      </c>
      <c r="B644" t="s">
        <v>30</v>
      </c>
      <c r="C644" t="s">
        <v>16</v>
      </c>
      <c r="D644" t="s">
        <v>45</v>
      </c>
      <c r="E644">
        <v>747800</v>
      </c>
      <c r="F644">
        <v>13.68</v>
      </c>
      <c r="G644">
        <v>120</v>
      </c>
      <c r="H644">
        <v>29515</v>
      </c>
      <c r="I644">
        <v>720</v>
      </c>
      <c r="J644" t="s">
        <v>18</v>
      </c>
      <c r="K644">
        <v>12.3</v>
      </c>
      <c r="L644">
        <v>45.4</v>
      </c>
      <c r="M644" t="s">
        <v>23</v>
      </c>
      <c r="N644">
        <v>44860</v>
      </c>
    </row>
    <row r="645" spans="1:14" x14ac:dyDescent="0.35">
      <c r="A645" t="s">
        <v>685</v>
      </c>
      <c r="B645" t="s">
        <v>30</v>
      </c>
      <c r="C645" t="s">
        <v>22</v>
      </c>
      <c r="D645" t="s">
        <v>52</v>
      </c>
      <c r="E645">
        <v>310505</v>
      </c>
      <c r="F645">
        <v>14.16</v>
      </c>
      <c r="G645">
        <v>12</v>
      </c>
      <c r="H645">
        <v>125206</v>
      </c>
      <c r="I645">
        <v>676</v>
      </c>
      <c r="J645" t="s">
        <v>26</v>
      </c>
      <c r="K645">
        <v>22.4</v>
      </c>
      <c r="L645">
        <v>35.1</v>
      </c>
      <c r="M645" t="s">
        <v>48</v>
      </c>
      <c r="N645">
        <v>44597</v>
      </c>
    </row>
    <row r="646" spans="1:14" x14ac:dyDescent="0.35">
      <c r="A646" t="s">
        <v>686</v>
      </c>
      <c r="B646" t="s">
        <v>30</v>
      </c>
      <c r="C646" t="s">
        <v>34</v>
      </c>
      <c r="D646" t="s">
        <v>43</v>
      </c>
      <c r="E646">
        <v>462719</v>
      </c>
      <c r="F646">
        <v>9.66</v>
      </c>
      <c r="G646">
        <v>48</v>
      </c>
      <c r="H646">
        <v>173677</v>
      </c>
      <c r="I646">
        <v>800</v>
      </c>
      <c r="J646" t="s">
        <v>18</v>
      </c>
      <c r="K646">
        <v>20.2</v>
      </c>
      <c r="L646">
        <v>24.6</v>
      </c>
      <c r="M646" t="s">
        <v>48</v>
      </c>
      <c r="N646">
        <v>44561</v>
      </c>
    </row>
    <row r="647" spans="1:14" x14ac:dyDescent="0.35">
      <c r="A647" t="s">
        <v>687</v>
      </c>
      <c r="B647" t="s">
        <v>83</v>
      </c>
      <c r="C647" t="s">
        <v>22</v>
      </c>
      <c r="D647" t="s">
        <v>32</v>
      </c>
      <c r="E647">
        <v>39540</v>
      </c>
      <c r="F647">
        <v>4.82</v>
      </c>
      <c r="G647">
        <v>24</v>
      </c>
      <c r="H647">
        <v>84240</v>
      </c>
      <c r="I647">
        <v>622</v>
      </c>
      <c r="J647" t="s">
        <v>39</v>
      </c>
      <c r="K647">
        <v>0.1</v>
      </c>
      <c r="L647">
        <v>35.6</v>
      </c>
      <c r="M647" t="s">
        <v>19</v>
      </c>
      <c r="N647">
        <v>45546</v>
      </c>
    </row>
    <row r="648" spans="1:14" x14ac:dyDescent="0.35">
      <c r="A648" t="s">
        <v>688</v>
      </c>
      <c r="B648" t="s">
        <v>28</v>
      </c>
      <c r="C648" t="s">
        <v>16</v>
      </c>
      <c r="D648" t="s">
        <v>17</v>
      </c>
      <c r="E648">
        <v>162608</v>
      </c>
      <c r="F648">
        <v>7.43</v>
      </c>
      <c r="G648">
        <v>36</v>
      </c>
      <c r="H648">
        <v>33586</v>
      </c>
      <c r="I648">
        <v>687</v>
      </c>
      <c r="J648" t="s">
        <v>18</v>
      </c>
      <c r="K648">
        <v>8</v>
      </c>
      <c r="L648">
        <v>21.8</v>
      </c>
      <c r="M648" t="s">
        <v>23</v>
      </c>
      <c r="N648">
        <v>44777</v>
      </c>
    </row>
    <row r="649" spans="1:14" x14ac:dyDescent="0.35">
      <c r="A649" t="s">
        <v>689</v>
      </c>
      <c r="B649" t="s">
        <v>28</v>
      </c>
      <c r="C649" t="s">
        <v>34</v>
      </c>
      <c r="D649" t="s">
        <v>43</v>
      </c>
      <c r="E649">
        <v>89700</v>
      </c>
      <c r="F649">
        <v>12.21</v>
      </c>
      <c r="G649">
        <v>36</v>
      </c>
      <c r="H649">
        <v>148419</v>
      </c>
      <c r="I649">
        <v>845</v>
      </c>
      <c r="J649" t="s">
        <v>39</v>
      </c>
      <c r="K649">
        <v>10.5</v>
      </c>
      <c r="L649">
        <v>19.100000000000001</v>
      </c>
      <c r="M649" t="s">
        <v>23</v>
      </c>
      <c r="N649">
        <v>44817</v>
      </c>
    </row>
    <row r="650" spans="1:14" x14ac:dyDescent="0.35">
      <c r="A650" t="s">
        <v>690</v>
      </c>
      <c r="B650" t="s">
        <v>25</v>
      </c>
      <c r="C650" t="s">
        <v>34</v>
      </c>
      <c r="D650" t="s">
        <v>45</v>
      </c>
      <c r="E650">
        <v>345676</v>
      </c>
      <c r="F650">
        <v>7.35</v>
      </c>
      <c r="G650">
        <v>12</v>
      </c>
      <c r="H650">
        <v>150374</v>
      </c>
      <c r="I650">
        <v>674</v>
      </c>
      <c r="J650" t="s">
        <v>18</v>
      </c>
      <c r="K650">
        <v>5.7</v>
      </c>
      <c r="L650">
        <v>47.9</v>
      </c>
      <c r="M650" t="s">
        <v>23</v>
      </c>
      <c r="N650">
        <v>45024</v>
      </c>
    </row>
    <row r="651" spans="1:14" x14ac:dyDescent="0.35">
      <c r="A651" t="s">
        <v>691</v>
      </c>
      <c r="B651" t="s">
        <v>15</v>
      </c>
      <c r="C651" t="s">
        <v>16</v>
      </c>
      <c r="D651" t="s">
        <v>17</v>
      </c>
      <c r="E651">
        <v>716935</v>
      </c>
      <c r="F651">
        <v>4.18</v>
      </c>
      <c r="G651">
        <v>300</v>
      </c>
      <c r="H651">
        <v>59186</v>
      </c>
      <c r="I651">
        <v>841</v>
      </c>
      <c r="J651" t="s">
        <v>26</v>
      </c>
      <c r="K651">
        <v>5</v>
      </c>
      <c r="L651">
        <v>38</v>
      </c>
      <c r="M651" t="s">
        <v>23</v>
      </c>
      <c r="N651">
        <v>44443</v>
      </c>
    </row>
    <row r="652" spans="1:14" x14ac:dyDescent="0.35">
      <c r="A652" t="s">
        <v>692</v>
      </c>
      <c r="B652" t="s">
        <v>30</v>
      </c>
      <c r="C652" t="s">
        <v>22</v>
      </c>
      <c r="D652" t="s">
        <v>17</v>
      </c>
      <c r="E652">
        <v>394770</v>
      </c>
      <c r="F652">
        <v>9.49</v>
      </c>
      <c r="G652">
        <v>24</v>
      </c>
      <c r="H652">
        <v>54928</v>
      </c>
      <c r="I652">
        <v>650</v>
      </c>
      <c r="J652" t="s">
        <v>18</v>
      </c>
      <c r="K652">
        <v>0.9</v>
      </c>
      <c r="L652">
        <v>33.799999999999997</v>
      </c>
      <c r="M652" t="s">
        <v>23</v>
      </c>
      <c r="N652">
        <v>44630</v>
      </c>
    </row>
    <row r="653" spans="1:14" x14ac:dyDescent="0.35">
      <c r="A653" t="s">
        <v>693</v>
      </c>
      <c r="B653" t="s">
        <v>15</v>
      </c>
      <c r="C653" t="s">
        <v>16</v>
      </c>
      <c r="D653" t="s">
        <v>73</v>
      </c>
      <c r="E653">
        <v>401087</v>
      </c>
      <c r="F653">
        <v>12.75</v>
      </c>
      <c r="G653">
        <v>300</v>
      </c>
      <c r="H653">
        <v>150990</v>
      </c>
      <c r="I653">
        <v>798</v>
      </c>
      <c r="J653" t="s">
        <v>39</v>
      </c>
      <c r="K653">
        <v>16.100000000000001</v>
      </c>
      <c r="L653">
        <v>22.2</v>
      </c>
      <c r="M653" t="s">
        <v>48</v>
      </c>
      <c r="N653">
        <v>45313</v>
      </c>
    </row>
    <row r="654" spans="1:14" x14ac:dyDescent="0.35">
      <c r="A654" t="s">
        <v>694</v>
      </c>
      <c r="B654" t="s">
        <v>15</v>
      </c>
      <c r="C654" t="s">
        <v>34</v>
      </c>
      <c r="D654" t="s">
        <v>45</v>
      </c>
      <c r="E654">
        <v>51002</v>
      </c>
      <c r="F654">
        <v>12.19</v>
      </c>
      <c r="G654">
        <v>24</v>
      </c>
      <c r="H654">
        <v>115029</v>
      </c>
      <c r="I654">
        <v>600</v>
      </c>
      <c r="J654" t="s">
        <v>18</v>
      </c>
      <c r="K654">
        <v>6.6</v>
      </c>
      <c r="L654">
        <v>10</v>
      </c>
      <c r="M654" t="s">
        <v>23</v>
      </c>
      <c r="N654">
        <v>45488</v>
      </c>
    </row>
    <row r="655" spans="1:14" x14ac:dyDescent="0.35">
      <c r="A655" t="s">
        <v>695</v>
      </c>
      <c r="B655" t="s">
        <v>25</v>
      </c>
      <c r="C655" t="s">
        <v>16</v>
      </c>
      <c r="D655" t="s">
        <v>43</v>
      </c>
      <c r="E655">
        <v>54812</v>
      </c>
      <c r="F655">
        <v>5.18</v>
      </c>
      <c r="G655">
        <v>12</v>
      </c>
      <c r="H655">
        <v>48711</v>
      </c>
      <c r="I655">
        <v>671</v>
      </c>
      <c r="J655" t="s">
        <v>18</v>
      </c>
      <c r="K655">
        <v>1.3</v>
      </c>
      <c r="L655">
        <v>9.1999999999999993</v>
      </c>
      <c r="M655" t="s">
        <v>19</v>
      </c>
      <c r="N655">
        <v>44811</v>
      </c>
    </row>
    <row r="656" spans="1:14" x14ac:dyDescent="0.35">
      <c r="A656" t="s">
        <v>696</v>
      </c>
      <c r="B656" t="s">
        <v>15</v>
      </c>
      <c r="C656" t="s">
        <v>22</v>
      </c>
      <c r="D656" t="s">
        <v>43</v>
      </c>
      <c r="E656">
        <v>420842</v>
      </c>
      <c r="F656">
        <v>10.8</v>
      </c>
      <c r="G656">
        <v>24</v>
      </c>
      <c r="H656">
        <v>82962</v>
      </c>
      <c r="I656">
        <v>706</v>
      </c>
      <c r="J656" t="s">
        <v>18</v>
      </c>
      <c r="K656">
        <v>5.8</v>
      </c>
      <c r="L656">
        <v>30.2</v>
      </c>
      <c r="M656" t="s">
        <v>23</v>
      </c>
      <c r="N656">
        <v>45139</v>
      </c>
    </row>
    <row r="657" spans="1:14" x14ac:dyDescent="0.35">
      <c r="A657" t="s">
        <v>697</v>
      </c>
      <c r="B657" t="s">
        <v>30</v>
      </c>
      <c r="C657" t="s">
        <v>34</v>
      </c>
      <c r="D657" t="s">
        <v>45</v>
      </c>
      <c r="E657">
        <v>720339</v>
      </c>
      <c r="F657">
        <v>5.69</v>
      </c>
      <c r="G657">
        <v>48</v>
      </c>
      <c r="H657">
        <v>48039</v>
      </c>
      <c r="I657">
        <v>659</v>
      </c>
      <c r="J657" t="s">
        <v>18</v>
      </c>
      <c r="K657">
        <v>20</v>
      </c>
      <c r="L657">
        <v>38.5</v>
      </c>
      <c r="M657" t="s">
        <v>19</v>
      </c>
      <c r="N657">
        <v>45159</v>
      </c>
    </row>
    <row r="658" spans="1:14" x14ac:dyDescent="0.35">
      <c r="A658" t="s">
        <v>698</v>
      </c>
      <c r="B658" t="s">
        <v>30</v>
      </c>
      <c r="C658" t="s">
        <v>16</v>
      </c>
      <c r="D658" t="s">
        <v>32</v>
      </c>
      <c r="E658">
        <v>262906</v>
      </c>
      <c r="F658">
        <v>5.67</v>
      </c>
      <c r="G658">
        <v>300</v>
      </c>
      <c r="H658">
        <v>64561</v>
      </c>
      <c r="I658">
        <v>817</v>
      </c>
      <c r="J658" t="s">
        <v>18</v>
      </c>
      <c r="K658">
        <v>21.3</v>
      </c>
      <c r="L658">
        <v>29.5</v>
      </c>
      <c r="M658" t="s">
        <v>55</v>
      </c>
      <c r="N658">
        <v>44820</v>
      </c>
    </row>
    <row r="659" spans="1:14" x14ac:dyDescent="0.35">
      <c r="A659" t="s">
        <v>699</v>
      </c>
      <c r="B659" t="s">
        <v>15</v>
      </c>
      <c r="C659" t="s">
        <v>16</v>
      </c>
      <c r="D659" t="s">
        <v>32</v>
      </c>
      <c r="E659">
        <v>113946</v>
      </c>
      <c r="F659">
        <v>13.08</v>
      </c>
      <c r="G659">
        <v>12</v>
      </c>
      <c r="H659">
        <v>29577</v>
      </c>
      <c r="I659">
        <v>761</v>
      </c>
      <c r="J659" t="s">
        <v>39</v>
      </c>
      <c r="K659">
        <v>12.1</v>
      </c>
      <c r="L659">
        <v>41.6</v>
      </c>
      <c r="M659" t="s">
        <v>23</v>
      </c>
      <c r="N659">
        <v>44517</v>
      </c>
    </row>
    <row r="660" spans="1:14" x14ac:dyDescent="0.35">
      <c r="A660" t="s">
        <v>700</v>
      </c>
      <c r="B660" t="s">
        <v>28</v>
      </c>
      <c r="C660" t="s">
        <v>22</v>
      </c>
      <c r="D660" t="s">
        <v>17</v>
      </c>
      <c r="E660">
        <v>71668</v>
      </c>
      <c r="F660">
        <v>6.02</v>
      </c>
      <c r="G660">
        <v>48</v>
      </c>
      <c r="H660">
        <v>135792</v>
      </c>
      <c r="I660">
        <v>604</v>
      </c>
      <c r="J660" t="s">
        <v>35</v>
      </c>
      <c r="K660">
        <v>10.4</v>
      </c>
      <c r="L660">
        <v>9.3000000000000007</v>
      </c>
      <c r="M660" t="s">
        <v>23</v>
      </c>
      <c r="N660">
        <v>45052</v>
      </c>
    </row>
    <row r="661" spans="1:14" x14ac:dyDescent="0.35">
      <c r="A661" t="s">
        <v>701</v>
      </c>
      <c r="B661" t="s">
        <v>15</v>
      </c>
      <c r="C661" t="s">
        <v>16</v>
      </c>
      <c r="D661" t="s">
        <v>32</v>
      </c>
      <c r="E661">
        <v>104003</v>
      </c>
      <c r="F661">
        <v>6.17</v>
      </c>
      <c r="G661">
        <v>24</v>
      </c>
      <c r="H661">
        <v>187422</v>
      </c>
      <c r="I661">
        <v>735</v>
      </c>
      <c r="J661" t="s">
        <v>18</v>
      </c>
      <c r="K661">
        <v>24.4</v>
      </c>
      <c r="L661">
        <v>22.7</v>
      </c>
      <c r="M661" t="s">
        <v>19</v>
      </c>
      <c r="N661">
        <v>44258</v>
      </c>
    </row>
    <row r="662" spans="1:14" x14ac:dyDescent="0.35">
      <c r="A662" t="s">
        <v>702</v>
      </c>
      <c r="B662" t="s">
        <v>30</v>
      </c>
      <c r="C662" t="s">
        <v>22</v>
      </c>
      <c r="D662" t="s">
        <v>38</v>
      </c>
      <c r="E662">
        <v>740430</v>
      </c>
      <c r="F662">
        <v>3.21</v>
      </c>
      <c r="G662">
        <v>12</v>
      </c>
      <c r="H662">
        <v>192870</v>
      </c>
      <c r="I662">
        <v>584</v>
      </c>
      <c r="J662" t="s">
        <v>39</v>
      </c>
      <c r="K662">
        <v>5</v>
      </c>
      <c r="L662">
        <v>17.5</v>
      </c>
      <c r="M662" t="s">
        <v>19</v>
      </c>
      <c r="N662">
        <v>44496</v>
      </c>
    </row>
    <row r="663" spans="1:14" x14ac:dyDescent="0.35">
      <c r="A663" t="s">
        <v>703</v>
      </c>
      <c r="B663" t="s">
        <v>110</v>
      </c>
      <c r="C663" t="s">
        <v>16</v>
      </c>
      <c r="D663" t="s">
        <v>45</v>
      </c>
      <c r="E663">
        <v>225462</v>
      </c>
      <c r="F663">
        <v>13.04</v>
      </c>
      <c r="G663">
        <v>24</v>
      </c>
      <c r="H663">
        <v>38785</v>
      </c>
      <c r="I663">
        <v>699</v>
      </c>
      <c r="J663" t="s">
        <v>18</v>
      </c>
      <c r="K663">
        <v>5.4</v>
      </c>
      <c r="L663">
        <v>25.9</v>
      </c>
      <c r="M663" t="s">
        <v>19</v>
      </c>
      <c r="N663">
        <v>44599</v>
      </c>
    </row>
    <row r="664" spans="1:14" x14ac:dyDescent="0.35">
      <c r="A664" t="s">
        <v>704</v>
      </c>
      <c r="B664" t="s">
        <v>28</v>
      </c>
      <c r="C664" t="s">
        <v>22</v>
      </c>
      <c r="D664" t="s">
        <v>73</v>
      </c>
      <c r="E664">
        <v>724174</v>
      </c>
      <c r="F664">
        <v>12.16</v>
      </c>
      <c r="G664">
        <v>300</v>
      </c>
      <c r="H664">
        <v>100227</v>
      </c>
      <c r="I664">
        <v>597</v>
      </c>
      <c r="J664" t="s">
        <v>18</v>
      </c>
      <c r="K664">
        <v>7.3</v>
      </c>
      <c r="L664">
        <v>10.9</v>
      </c>
      <c r="M664" t="s">
        <v>23</v>
      </c>
      <c r="N664">
        <v>45151</v>
      </c>
    </row>
    <row r="665" spans="1:14" x14ac:dyDescent="0.35">
      <c r="A665" t="s">
        <v>705</v>
      </c>
      <c r="B665" t="s">
        <v>30</v>
      </c>
      <c r="C665" t="s">
        <v>16</v>
      </c>
      <c r="D665" t="s">
        <v>32</v>
      </c>
      <c r="E665">
        <v>633889</v>
      </c>
      <c r="F665">
        <v>10.29</v>
      </c>
      <c r="G665">
        <v>12</v>
      </c>
      <c r="H665">
        <v>146680</v>
      </c>
      <c r="I665">
        <v>777</v>
      </c>
      <c r="J665" t="s">
        <v>26</v>
      </c>
      <c r="K665">
        <v>4.3</v>
      </c>
      <c r="L665">
        <v>46.2</v>
      </c>
      <c r="M665" t="s">
        <v>23</v>
      </c>
      <c r="N665">
        <v>45523</v>
      </c>
    </row>
    <row r="666" spans="1:14" x14ac:dyDescent="0.35">
      <c r="A666" t="s">
        <v>706</v>
      </c>
      <c r="B666" t="s">
        <v>30</v>
      </c>
      <c r="C666" t="s">
        <v>34</v>
      </c>
      <c r="D666" t="s">
        <v>45</v>
      </c>
      <c r="E666">
        <v>274956</v>
      </c>
      <c r="F666">
        <v>11.68</v>
      </c>
      <c r="G666">
        <v>24</v>
      </c>
      <c r="H666">
        <v>89957</v>
      </c>
      <c r="I666">
        <v>636</v>
      </c>
      <c r="J666" t="s">
        <v>26</v>
      </c>
      <c r="K666">
        <v>9.5</v>
      </c>
      <c r="L666">
        <v>16.899999999999999</v>
      </c>
      <c r="M666" t="s">
        <v>48</v>
      </c>
      <c r="N666">
        <v>44449</v>
      </c>
    </row>
    <row r="667" spans="1:14" x14ac:dyDescent="0.35">
      <c r="A667" t="s">
        <v>707</v>
      </c>
      <c r="B667" t="s">
        <v>30</v>
      </c>
      <c r="C667" t="s">
        <v>22</v>
      </c>
      <c r="D667" t="s">
        <v>45</v>
      </c>
      <c r="E667">
        <v>66844</v>
      </c>
      <c r="F667">
        <v>4.92</v>
      </c>
      <c r="G667">
        <v>300</v>
      </c>
      <c r="H667">
        <v>93431</v>
      </c>
      <c r="I667">
        <v>672</v>
      </c>
      <c r="J667" t="s">
        <v>35</v>
      </c>
      <c r="K667">
        <v>22.8</v>
      </c>
      <c r="L667">
        <v>44.9</v>
      </c>
      <c r="M667" t="s">
        <v>48</v>
      </c>
      <c r="N667">
        <v>44674</v>
      </c>
    </row>
    <row r="668" spans="1:14" x14ac:dyDescent="0.35">
      <c r="A668" t="s">
        <v>708</v>
      </c>
      <c r="B668" t="s">
        <v>30</v>
      </c>
      <c r="C668" t="s">
        <v>34</v>
      </c>
      <c r="D668" t="s">
        <v>45</v>
      </c>
      <c r="E668">
        <v>730453</v>
      </c>
      <c r="F668">
        <v>8.3800000000000008</v>
      </c>
      <c r="G668">
        <v>48</v>
      </c>
      <c r="H668">
        <v>176369</v>
      </c>
      <c r="I668">
        <v>598</v>
      </c>
      <c r="J668" t="s">
        <v>18</v>
      </c>
      <c r="K668">
        <v>15.4</v>
      </c>
      <c r="L668">
        <v>25</v>
      </c>
      <c r="M668" t="s">
        <v>23</v>
      </c>
      <c r="N668">
        <v>45589</v>
      </c>
    </row>
    <row r="669" spans="1:14" x14ac:dyDescent="0.35">
      <c r="A669" t="s">
        <v>709</v>
      </c>
      <c r="B669" t="s">
        <v>30</v>
      </c>
      <c r="C669" t="s">
        <v>22</v>
      </c>
      <c r="D669" t="s">
        <v>38</v>
      </c>
      <c r="E669">
        <v>400395</v>
      </c>
      <c r="F669">
        <v>7.17</v>
      </c>
      <c r="G669">
        <v>240</v>
      </c>
      <c r="H669">
        <v>99894</v>
      </c>
      <c r="I669">
        <v>772</v>
      </c>
      <c r="J669" t="s">
        <v>26</v>
      </c>
      <c r="K669">
        <v>10.3</v>
      </c>
      <c r="L669">
        <v>47.4</v>
      </c>
      <c r="M669" t="s">
        <v>55</v>
      </c>
      <c r="N669">
        <v>44356</v>
      </c>
    </row>
    <row r="670" spans="1:14" x14ac:dyDescent="0.35">
      <c r="A670" t="s">
        <v>710</v>
      </c>
      <c r="B670" t="s">
        <v>30</v>
      </c>
      <c r="C670" t="s">
        <v>34</v>
      </c>
      <c r="D670" t="s">
        <v>17</v>
      </c>
      <c r="E670">
        <v>704158</v>
      </c>
      <c r="F670">
        <v>4.26</v>
      </c>
      <c r="G670">
        <v>48</v>
      </c>
      <c r="H670">
        <v>178653</v>
      </c>
      <c r="I670">
        <v>816</v>
      </c>
      <c r="J670" t="s">
        <v>18</v>
      </c>
      <c r="K670">
        <v>23.4</v>
      </c>
      <c r="L670">
        <v>30.2</v>
      </c>
      <c r="M670" t="s">
        <v>23</v>
      </c>
      <c r="N670">
        <v>45157</v>
      </c>
    </row>
    <row r="671" spans="1:14" x14ac:dyDescent="0.35">
      <c r="A671" t="s">
        <v>711</v>
      </c>
      <c r="B671" t="s">
        <v>30</v>
      </c>
      <c r="C671" t="s">
        <v>16</v>
      </c>
      <c r="D671" t="s">
        <v>32</v>
      </c>
      <c r="E671">
        <v>79601</v>
      </c>
      <c r="F671">
        <v>8.69</v>
      </c>
      <c r="G671">
        <v>24</v>
      </c>
      <c r="H671">
        <v>83192</v>
      </c>
      <c r="I671">
        <v>806</v>
      </c>
      <c r="J671" t="s">
        <v>18</v>
      </c>
      <c r="K671">
        <v>1.2</v>
      </c>
      <c r="L671">
        <v>45.2</v>
      </c>
      <c r="M671" t="s">
        <v>23</v>
      </c>
      <c r="N671">
        <v>45386</v>
      </c>
    </row>
    <row r="672" spans="1:14" x14ac:dyDescent="0.35">
      <c r="A672" t="s">
        <v>712</v>
      </c>
      <c r="B672" t="s">
        <v>30</v>
      </c>
      <c r="C672" t="s">
        <v>16</v>
      </c>
      <c r="D672" t="s">
        <v>17</v>
      </c>
      <c r="E672">
        <v>315001</v>
      </c>
      <c r="F672">
        <v>13.6</v>
      </c>
      <c r="G672">
        <v>12</v>
      </c>
      <c r="H672">
        <v>29462</v>
      </c>
      <c r="I672">
        <v>812</v>
      </c>
      <c r="J672" t="s">
        <v>18</v>
      </c>
      <c r="K672">
        <v>5.3</v>
      </c>
      <c r="L672">
        <v>8.1999999999999993</v>
      </c>
      <c r="M672" t="s">
        <v>23</v>
      </c>
      <c r="N672">
        <v>44401</v>
      </c>
    </row>
    <row r="673" spans="1:14" x14ac:dyDescent="0.35">
      <c r="A673" t="s">
        <v>713</v>
      </c>
      <c r="B673" t="s">
        <v>83</v>
      </c>
      <c r="C673" t="s">
        <v>16</v>
      </c>
      <c r="D673" t="s">
        <v>32</v>
      </c>
      <c r="E673">
        <v>392699</v>
      </c>
      <c r="F673">
        <v>3.65</v>
      </c>
      <c r="G673">
        <v>36</v>
      </c>
      <c r="H673">
        <v>156848</v>
      </c>
      <c r="I673">
        <v>619</v>
      </c>
      <c r="J673" t="s">
        <v>35</v>
      </c>
      <c r="K673">
        <v>14.1</v>
      </c>
      <c r="L673">
        <v>37.9</v>
      </c>
      <c r="M673" t="s">
        <v>23</v>
      </c>
      <c r="N673">
        <v>45487</v>
      </c>
    </row>
    <row r="674" spans="1:14" x14ac:dyDescent="0.35">
      <c r="A674" t="s">
        <v>714</v>
      </c>
      <c r="B674" t="s">
        <v>30</v>
      </c>
      <c r="C674" t="s">
        <v>34</v>
      </c>
      <c r="D674" t="s">
        <v>32</v>
      </c>
      <c r="E674">
        <v>499700</v>
      </c>
      <c r="F674">
        <v>6.49</v>
      </c>
      <c r="G674">
        <v>48</v>
      </c>
      <c r="H674">
        <v>174583</v>
      </c>
      <c r="I674">
        <v>732</v>
      </c>
      <c r="J674" t="s">
        <v>26</v>
      </c>
      <c r="K674">
        <v>15.4</v>
      </c>
      <c r="L674">
        <v>44.1</v>
      </c>
      <c r="M674" t="s">
        <v>19</v>
      </c>
      <c r="N674">
        <v>45358</v>
      </c>
    </row>
    <row r="675" spans="1:14" x14ac:dyDescent="0.35">
      <c r="A675" t="s">
        <v>715</v>
      </c>
      <c r="B675" t="s">
        <v>15</v>
      </c>
      <c r="C675" t="s">
        <v>22</v>
      </c>
      <c r="D675" t="s">
        <v>45</v>
      </c>
      <c r="E675">
        <v>287844</v>
      </c>
      <c r="F675">
        <v>5.55</v>
      </c>
      <c r="G675">
        <v>48</v>
      </c>
      <c r="H675">
        <v>104106</v>
      </c>
      <c r="I675">
        <v>706</v>
      </c>
      <c r="J675" t="s">
        <v>26</v>
      </c>
      <c r="K675">
        <v>1</v>
      </c>
      <c r="L675">
        <v>13.6</v>
      </c>
      <c r="M675" t="s">
        <v>23</v>
      </c>
      <c r="N675">
        <v>45588</v>
      </c>
    </row>
    <row r="676" spans="1:14" x14ac:dyDescent="0.35">
      <c r="A676" t="s">
        <v>716</v>
      </c>
      <c r="B676" t="s">
        <v>15</v>
      </c>
      <c r="C676" t="s">
        <v>22</v>
      </c>
      <c r="D676" t="s">
        <v>52</v>
      </c>
      <c r="E676">
        <v>437680</v>
      </c>
      <c r="F676">
        <v>5.89</v>
      </c>
      <c r="G676">
        <v>300</v>
      </c>
      <c r="H676">
        <v>76665</v>
      </c>
      <c r="I676">
        <v>816</v>
      </c>
      <c r="J676" t="s">
        <v>18</v>
      </c>
      <c r="K676">
        <v>10.1</v>
      </c>
      <c r="L676">
        <v>11.8</v>
      </c>
      <c r="M676" t="s">
        <v>23</v>
      </c>
      <c r="N676">
        <v>45054</v>
      </c>
    </row>
    <row r="677" spans="1:14" x14ac:dyDescent="0.35">
      <c r="A677" t="s">
        <v>717</v>
      </c>
      <c r="B677" t="s">
        <v>110</v>
      </c>
      <c r="C677" t="s">
        <v>16</v>
      </c>
      <c r="D677" t="s">
        <v>45</v>
      </c>
      <c r="E677">
        <v>178423</v>
      </c>
      <c r="F677">
        <v>13.47</v>
      </c>
      <c r="G677">
        <v>120</v>
      </c>
      <c r="H677">
        <v>203486</v>
      </c>
      <c r="I677">
        <v>634</v>
      </c>
      <c r="J677" t="s">
        <v>18</v>
      </c>
      <c r="K677">
        <v>16.2</v>
      </c>
      <c r="L677">
        <v>25</v>
      </c>
      <c r="M677" t="s">
        <v>19</v>
      </c>
      <c r="N677">
        <v>44956</v>
      </c>
    </row>
    <row r="678" spans="1:14" x14ac:dyDescent="0.35">
      <c r="A678" t="s">
        <v>718</v>
      </c>
      <c r="B678" t="s">
        <v>30</v>
      </c>
      <c r="C678" t="s">
        <v>34</v>
      </c>
      <c r="D678" t="s">
        <v>38</v>
      </c>
      <c r="E678">
        <v>98330</v>
      </c>
      <c r="F678">
        <v>8.49</v>
      </c>
      <c r="G678">
        <v>36</v>
      </c>
      <c r="H678">
        <v>109010</v>
      </c>
      <c r="I678">
        <v>751</v>
      </c>
      <c r="J678" t="s">
        <v>18</v>
      </c>
      <c r="K678">
        <v>17.5</v>
      </c>
      <c r="L678">
        <v>45.3</v>
      </c>
      <c r="M678" t="s">
        <v>19</v>
      </c>
      <c r="N678">
        <v>44917</v>
      </c>
    </row>
    <row r="679" spans="1:14" x14ac:dyDescent="0.35">
      <c r="A679" t="s">
        <v>719</v>
      </c>
      <c r="B679" t="s">
        <v>15</v>
      </c>
      <c r="C679" t="s">
        <v>16</v>
      </c>
      <c r="D679" t="s">
        <v>32</v>
      </c>
      <c r="E679">
        <v>230391</v>
      </c>
      <c r="F679">
        <v>8.4700000000000006</v>
      </c>
      <c r="G679">
        <v>24</v>
      </c>
      <c r="H679">
        <v>100573</v>
      </c>
      <c r="I679">
        <v>688</v>
      </c>
      <c r="J679" t="s">
        <v>18</v>
      </c>
      <c r="K679">
        <v>16</v>
      </c>
      <c r="L679">
        <v>29.7</v>
      </c>
      <c r="M679" t="s">
        <v>19</v>
      </c>
      <c r="N679">
        <v>45237</v>
      </c>
    </row>
    <row r="680" spans="1:14" x14ac:dyDescent="0.35">
      <c r="A680" t="s">
        <v>720</v>
      </c>
      <c r="B680" t="s">
        <v>21</v>
      </c>
      <c r="C680" t="s">
        <v>16</v>
      </c>
      <c r="D680" t="s">
        <v>45</v>
      </c>
      <c r="E680">
        <v>218606</v>
      </c>
      <c r="F680">
        <v>11.79</v>
      </c>
      <c r="G680">
        <v>240</v>
      </c>
      <c r="H680">
        <v>135803</v>
      </c>
      <c r="I680">
        <v>763</v>
      </c>
      <c r="J680" t="s">
        <v>18</v>
      </c>
      <c r="K680">
        <v>8</v>
      </c>
      <c r="L680">
        <v>29.1</v>
      </c>
      <c r="M680" t="s">
        <v>55</v>
      </c>
      <c r="N680">
        <v>44264</v>
      </c>
    </row>
    <row r="681" spans="1:14" x14ac:dyDescent="0.35">
      <c r="A681" t="s">
        <v>721</v>
      </c>
      <c r="B681" t="s">
        <v>37</v>
      </c>
      <c r="C681" t="s">
        <v>22</v>
      </c>
      <c r="D681" t="s">
        <v>17</v>
      </c>
      <c r="E681">
        <v>412085</v>
      </c>
      <c r="F681">
        <v>4.95</v>
      </c>
      <c r="G681">
        <v>12</v>
      </c>
      <c r="H681">
        <v>147682</v>
      </c>
      <c r="I681">
        <v>777</v>
      </c>
      <c r="J681" t="s">
        <v>26</v>
      </c>
      <c r="K681">
        <v>2.2999999999999998</v>
      </c>
      <c r="L681">
        <v>13.6</v>
      </c>
      <c r="M681" t="s">
        <v>23</v>
      </c>
      <c r="N681">
        <v>44329</v>
      </c>
    </row>
    <row r="682" spans="1:14" x14ac:dyDescent="0.35">
      <c r="A682" t="s">
        <v>722</v>
      </c>
      <c r="B682" t="s">
        <v>25</v>
      </c>
      <c r="C682" t="s">
        <v>34</v>
      </c>
      <c r="D682" t="s">
        <v>17</v>
      </c>
      <c r="E682">
        <v>196387</v>
      </c>
      <c r="F682">
        <v>8.7100000000000009</v>
      </c>
      <c r="G682">
        <v>120</v>
      </c>
      <c r="H682">
        <v>41386</v>
      </c>
      <c r="I682">
        <v>666</v>
      </c>
      <c r="J682" t="s">
        <v>18</v>
      </c>
      <c r="K682">
        <v>10.7</v>
      </c>
      <c r="L682">
        <v>8</v>
      </c>
      <c r="M682" t="s">
        <v>19</v>
      </c>
      <c r="N682">
        <v>45115</v>
      </c>
    </row>
    <row r="683" spans="1:14" x14ac:dyDescent="0.35">
      <c r="A683" t="s">
        <v>723</v>
      </c>
      <c r="B683" t="s">
        <v>30</v>
      </c>
      <c r="C683" t="s">
        <v>22</v>
      </c>
      <c r="D683" t="s">
        <v>17</v>
      </c>
      <c r="E683">
        <v>246133</v>
      </c>
      <c r="F683">
        <v>8.06</v>
      </c>
      <c r="G683">
        <v>24</v>
      </c>
      <c r="H683">
        <v>152069</v>
      </c>
      <c r="I683">
        <v>780</v>
      </c>
      <c r="J683" t="s">
        <v>18</v>
      </c>
      <c r="K683">
        <v>3.2</v>
      </c>
      <c r="L683">
        <v>40.4</v>
      </c>
      <c r="M683" t="s">
        <v>19</v>
      </c>
      <c r="N683">
        <v>44626</v>
      </c>
    </row>
    <row r="684" spans="1:14" x14ac:dyDescent="0.35">
      <c r="A684" t="s">
        <v>724</v>
      </c>
      <c r="B684" t="s">
        <v>30</v>
      </c>
      <c r="C684" t="s">
        <v>16</v>
      </c>
      <c r="D684" t="s">
        <v>32</v>
      </c>
      <c r="E684">
        <v>491904</v>
      </c>
      <c r="F684">
        <v>9.9499999999999993</v>
      </c>
      <c r="G684">
        <v>60</v>
      </c>
      <c r="H684">
        <v>82460</v>
      </c>
      <c r="I684">
        <v>790</v>
      </c>
      <c r="J684" t="s">
        <v>18</v>
      </c>
      <c r="K684">
        <v>23.7</v>
      </c>
      <c r="L684">
        <v>11.5</v>
      </c>
      <c r="M684" t="s">
        <v>19</v>
      </c>
      <c r="N684">
        <v>44504</v>
      </c>
    </row>
    <row r="685" spans="1:14" x14ac:dyDescent="0.35">
      <c r="A685" t="s">
        <v>725</v>
      </c>
      <c r="B685" t="s">
        <v>28</v>
      </c>
      <c r="C685" t="s">
        <v>22</v>
      </c>
      <c r="D685" t="s">
        <v>17</v>
      </c>
      <c r="E685">
        <v>419170</v>
      </c>
      <c r="F685">
        <v>14.5</v>
      </c>
      <c r="G685">
        <v>240</v>
      </c>
      <c r="H685">
        <v>165293</v>
      </c>
      <c r="I685">
        <v>697</v>
      </c>
      <c r="J685" t="s">
        <v>18</v>
      </c>
      <c r="K685">
        <v>11.9</v>
      </c>
      <c r="L685">
        <v>33.4</v>
      </c>
      <c r="M685" t="s">
        <v>23</v>
      </c>
      <c r="N685">
        <v>44846</v>
      </c>
    </row>
    <row r="686" spans="1:14" x14ac:dyDescent="0.35">
      <c r="A686" t="s">
        <v>726</v>
      </c>
      <c r="B686" t="s">
        <v>71</v>
      </c>
      <c r="C686" t="s">
        <v>22</v>
      </c>
      <c r="D686" t="s">
        <v>17</v>
      </c>
      <c r="E686">
        <v>691915</v>
      </c>
      <c r="F686">
        <v>11.89</v>
      </c>
      <c r="G686">
        <v>48</v>
      </c>
      <c r="H686">
        <v>182546</v>
      </c>
      <c r="I686">
        <v>770</v>
      </c>
      <c r="J686" t="s">
        <v>18</v>
      </c>
      <c r="K686">
        <v>7.9</v>
      </c>
      <c r="L686">
        <v>44.6</v>
      </c>
      <c r="M686" t="s">
        <v>23</v>
      </c>
      <c r="N686">
        <v>45394</v>
      </c>
    </row>
    <row r="687" spans="1:14" x14ac:dyDescent="0.35">
      <c r="A687" t="s">
        <v>727</v>
      </c>
      <c r="B687" t="s">
        <v>15</v>
      </c>
      <c r="C687" t="s">
        <v>22</v>
      </c>
      <c r="D687" t="s">
        <v>17</v>
      </c>
      <c r="E687">
        <v>330497</v>
      </c>
      <c r="F687">
        <v>7.7</v>
      </c>
      <c r="G687">
        <v>60</v>
      </c>
      <c r="H687">
        <v>143375</v>
      </c>
      <c r="I687">
        <v>621</v>
      </c>
      <c r="J687" t="s">
        <v>39</v>
      </c>
      <c r="K687">
        <v>19.2</v>
      </c>
      <c r="L687">
        <v>16.3</v>
      </c>
      <c r="M687" t="s">
        <v>55</v>
      </c>
      <c r="N687">
        <v>44608</v>
      </c>
    </row>
    <row r="688" spans="1:14" x14ac:dyDescent="0.35">
      <c r="A688" t="s">
        <v>728</v>
      </c>
      <c r="B688" t="s">
        <v>15</v>
      </c>
      <c r="C688" t="s">
        <v>22</v>
      </c>
      <c r="D688" t="s">
        <v>52</v>
      </c>
      <c r="E688">
        <v>480406</v>
      </c>
      <c r="F688">
        <v>12.55</v>
      </c>
      <c r="G688">
        <v>48</v>
      </c>
      <c r="H688">
        <v>140660</v>
      </c>
      <c r="I688">
        <v>621</v>
      </c>
      <c r="J688" t="s">
        <v>26</v>
      </c>
      <c r="K688">
        <v>12.4</v>
      </c>
      <c r="L688">
        <v>34.6</v>
      </c>
      <c r="M688" t="s">
        <v>23</v>
      </c>
      <c r="N688">
        <v>44293</v>
      </c>
    </row>
    <row r="689" spans="1:14" x14ac:dyDescent="0.35">
      <c r="A689" t="s">
        <v>729</v>
      </c>
      <c r="B689" t="s">
        <v>30</v>
      </c>
      <c r="C689" t="s">
        <v>16</v>
      </c>
      <c r="D689" t="s">
        <v>17</v>
      </c>
      <c r="E689">
        <v>443242</v>
      </c>
      <c r="F689">
        <v>5.13</v>
      </c>
      <c r="G689">
        <v>48</v>
      </c>
      <c r="H689">
        <v>180117</v>
      </c>
      <c r="I689">
        <v>596</v>
      </c>
      <c r="J689" t="s">
        <v>26</v>
      </c>
      <c r="K689">
        <v>7.8</v>
      </c>
      <c r="L689">
        <v>11.1</v>
      </c>
      <c r="M689" t="s">
        <v>55</v>
      </c>
      <c r="N689">
        <v>45374</v>
      </c>
    </row>
    <row r="690" spans="1:14" x14ac:dyDescent="0.35">
      <c r="A690" t="s">
        <v>730</v>
      </c>
      <c r="B690" t="s">
        <v>25</v>
      </c>
      <c r="C690" t="s">
        <v>22</v>
      </c>
      <c r="D690" t="s">
        <v>32</v>
      </c>
      <c r="E690">
        <v>367916</v>
      </c>
      <c r="F690">
        <v>3.54</v>
      </c>
      <c r="G690">
        <v>60</v>
      </c>
      <c r="H690">
        <v>119319</v>
      </c>
      <c r="I690">
        <v>837</v>
      </c>
      <c r="J690" t="s">
        <v>18</v>
      </c>
      <c r="K690">
        <v>20.3</v>
      </c>
      <c r="L690">
        <v>32.200000000000003</v>
      </c>
      <c r="M690" t="s">
        <v>19</v>
      </c>
      <c r="N690">
        <v>45462</v>
      </c>
    </row>
    <row r="691" spans="1:14" x14ac:dyDescent="0.35">
      <c r="A691" t="s">
        <v>731</v>
      </c>
      <c r="B691" t="s">
        <v>30</v>
      </c>
      <c r="C691" t="s">
        <v>22</v>
      </c>
      <c r="D691" t="s">
        <v>17</v>
      </c>
      <c r="E691">
        <v>183048</v>
      </c>
      <c r="F691">
        <v>5.51</v>
      </c>
      <c r="G691">
        <v>240</v>
      </c>
      <c r="H691">
        <v>144582</v>
      </c>
      <c r="I691">
        <v>642</v>
      </c>
      <c r="J691" t="s">
        <v>18</v>
      </c>
      <c r="K691">
        <v>21.7</v>
      </c>
      <c r="L691">
        <v>14.6</v>
      </c>
      <c r="M691" t="s">
        <v>19</v>
      </c>
      <c r="N691">
        <v>45524</v>
      </c>
    </row>
    <row r="692" spans="1:14" x14ac:dyDescent="0.35">
      <c r="A692" t="s">
        <v>732</v>
      </c>
      <c r="B692" t="s">
        <v>30</v>
      </c>
      <c r="C692" t="s">
        <v>22</v>
      </c>
      <c r="D692" t="s">
        <v>45</v>
      </c>
      <c r="E692">
        <v>358646</v>
      </c>
      <c r="F692">
        <v>7.05</v>
      </c>
      <c r="G692">
        <v>300</v>
      </c>
      <c r="H692">
        <v>163994</v>
      </c>
      <c r="I692">
        <v>641</v>
      </c>
      <c r="J692" t="s">
        <v>18</v>
      </c>
      <c r="K692">
        <v>16.8</v>
      </c>
      <c r="L692">
        <v>37.4</v>
      </c>
      <c r="M692" t="s">
        <v>55</v>
      </c>
      <c r="N692">
        <v>45505</v>
      </c>
    </row>
    <row r="693" spans="1:14" x14ac:dyDescent="0.35">
      <c r="A693" t="s">
        <v>733</v>
      </c>
      <c r="B693" t="s">
        <v>15</v>
      </c>
      <c r="C693" t="s">
        <v>22</v>
      </c>
      <c r="D693" t="s">
        <v>17</v>
      </c>
      <c r="E693">
        <v>381087</v>
      </c>
      <c r="F693">
        <v>8.9700000000000006</v>
      </c>
      <c r="G693">
        <v>60</v>
      </c>
      <c r="H693">
        <v>181778</v>
      </c>
      <c r="I693">
        <v>679</v>
      </c>
      <c r="J693" t="s">
        <v>39</v>
      </c>
      <c r="K693">
        <v>1.2</v>
      </c>
      <c r="L693">
        <v>20</v>
      </c>
      <c r="M693" t="s">
        <v>19</v>
      </c>
      <c r="N693">
        <v>45247</v>
      </c>
    </row>
    <row r="694" spans="1:14" x14ac:dyDescent="0.35">
      <c r="A694" t="s">
        <v>734</v>
      </c>
      <c r="B694" t="s">
        <v>15</v>
      </c>
      <c r="C694" t="s">
        <v>22</v>
      </c>
      <c r="D694" t="s">
        <v>17</v>
      </c>
      <c r="E694">
        <v>376994</v>
      </c>
      <c r="F694">
        <v>10.15</v>
      </c>
      <c r="G694">
        <v>24</v>
      </c>
      <c r="H694">
        <v>70771</v>
      </c>
      <c r="I694">
        <v>598</v>
      </c>
      <c r="J694" t="s">
        <v>26</v>
      </c>
      <c r="K694">
        <v>14.2</v>
      </c>
      <c r="L694">
        <v>26.5</v>
      </c>
      <c r="M694" t="s">
        <v>23</v>
      </c>
      <c r="N694">
        <v>45622</v>
      </c>
    </row>
    <row r="695" spans="1:14" x14ac:dyDescent="0.35">
      <c r="A695" t="s">
        <v>735</v>
      </c>
      <c r="B695" t="s">
        <v>30</v>
      </c>
      <c r="C695" t="s">
        <v>22</v>
      </c>
      <c r="D695" t="s">
        <v>32</v>
      </c>
      <c r="E695">
        <v>574383</v>
      </c>
      <c r="F695">
        <v>13.49</v>
      </c>
      <c r="G695">
        <v>120</v>
      </c>
      <c r="H695">
        <v>80335</v>
      </c>
      <c r="I695">
        <v>596</v>
      </c>
      <c r="J695" t="s">
        <v>18</v>
      </c>
      <c r="K695">
        <v>19.100000000000001</v>
      </c>
      <c r="L695">
        <v>32</v>
      </c>
      <c r="M695" t="s">
        <v>23</v>
      </c>
      <c r="N695">
        <v>45580</v>
      </c>
    </row>
    <row r="696" spans="1:14" x14ac:dyDescent="0.35">
      <c r="A696" t="s">
        <v>736</v>
      </c>
      <c r="B696" t="s">
        <v>30</v>
      </c>
      <c r="C696" t="s">
        <v>16</v>
      </c>
      <c r="D696" t="s">
        <v>17</v>
      </c>
      <c r="E696">
        <v>150342</v>
      </c>
      <c r="F696">
        <v>8.9600000000000009</v>
      </c>
      <c r="G696">
        <v>120</v>
      </c>
      <c r="H696">
        <v>80949</v>
      </c>
      <c r="I696">
        <v>825</v>
      </c>
      <c r="J696" t="s">
        <v>18</v>
      </c>
      <c r="K696">
        <v>3.4</v>
      </c>
      <c r="L696">
        <v>14.9</v>
      </c>
      <c r="M696" t="s">
        <v>55</v>
      </c>
      <c r="N696">
        <v>45280</v>
      </c>
    </row>
    <row r="697" spans="1:14" x14ac:dyDescent="0.35">
      <c r="A697" t="s">
        <v>737</v>
      </c>
      <c r="B697" t="s">
        <v>28</v>
      </c>
      <c r="C697" t="s">
        <v>16</v>
      </c>
      <c r="D697" t="s">
        <v>17</v>
      </c>
      <c r="E697">
        <v>691268</v>
      </c>
      <c r="F697">
        <v>8.86</v>
      </c>
      <c r="G697">
        <v>60</v>
      </c>
      <c r="H697">
        <v>123558</v>
      </c>
      <c r="I697">
        <v>830</v>
      </c>
      <c r="J697" t="s">
        <v>18</v>
      </c>
      <c r="K697">
        <v>5.7</v>
      </c>
      <c r="L697">
        <v>37.700000000000003</v>
      </c>
      <c r="M697" t="s">
        <v>23</v>
      </c>
      <c r="N697">
        <v>44398</v>
      </c>
    </row>
    <row r="698" spans="1:14" x14ac:dyDescent="0.35">
      <c r="A698" t="s">
        <v>738</v>
      </c>
      <c r="B698" t="s">
        <v>30</v>
      </c>
      <c r="C698" t="s">
        <v>16</v>
      </c>
      <c r="D698" t="s">
        <v>17</v>
      </c>
      <c r="E698">
        <v>67433</v>
      </c>
      <c r="F698">
        <v>3.77</v>
      </c>
      <c r="G698">
        <v>24</v>
      </c>
      <c r="H698">
        <v>174312</v>
      </c>
      <c r="I698">
        <v>660</v>
      </c>
      <c r="J698" t="s">
        <v>26</v>
      </c>
      <c r="K698">
        <v>22.1</v>
      </c>
      <c r="L698">
        <v>20.100000000000001</v>
      </c>
      <c r="M698" t="s">
        <v>23</v>
      </c>
      <c r="N698">
        <v>44958</v>
      </c>
    </row>
    <row r="699" spans="1:14" x14ac:dyDescent="0.35">
      <c r="A699" t="s">
        <v>739</v>
      </c>
      <c r="B699" t="s">
        <v>15</v>
      </c>
      <c r="C699" t="s">
        <v>22</v>
      </c>
      <c r="D699" t="s">
        <v>17</v>
      </c>
      <c r="E699">
        <v>549279</v>
      </c>
      <c r="F699">
        <v>3.59</v>
      </c>
      <c r="G699">
        <v>300</v>
      </c>
      <c r="H699">
        <v>130272</v>
      </c>
      <c r="I699">
        <v>618</v>
      </c>
      <c r="J699" t="s">
        <v>39</v>
      </c>
      <c r="K699">
        <v>0.5</v>
      </c>
      <c r="L699">
        <v>34.5</v>
      </c>
      <c r="M699" t="s">
        <v>23</v>
      </c>
      <c r="N699">
        <v>45070</v>
      </c>
    </row>
    <row r="700" spans="1:14" x14ac:dyDescent="0.35">
      <c r="A700" t="s">
        <v>740</v>
      </c>
      <c r="B700" t="s">
        <v>30</v>
      </c>
      <c r="C700" t="s">
        <v>22</v>
      </c>
      <c r="D700" t="s">
        <v>17</v>
      </c>
      <c r="E700">
        <v>277919</v>
      </c>
      <c r="F700">
        <v>9.43</v>
      </c>
      <c r="G700">
        <v>120</v>
      </c>
      <c r="H700">
        <v>30716</v>
      </c>
      <c r="I700">
        <v>615</v>
      </c>
      <c r="J700" t="s">
        <v>18</v>
      </c>
      <c r="K700">
        <v>18.8</v>
      </c>
      <c r="L700">
        <v>14.3</v>
      </c>
      <c r="M700" t="s">
        <v>55</v>
      </c>
      <c r="N700">
        <v>44777</v>
      </c>
    </row>
    <row r="701" spans="1:14" x14ac:dyDescent="0.35">
      <c r="A701" t="s">
        <v>741</v>
      </c>
      <c r="B701" t="s">
        <v>15</v>
      </c>
      <c r="C701" t="s">
        <v>34</v>
      </c>
      <c r="D701" t="s">
        <v>17</v>
      </c>
      <c r="E701">
        <v>476017</v>
      </c>
      <c r="F701">
        <v>8.15</v>
      </c>
      <c r="G701">
        <v>24</v>
      </c>
      <c r="H701">
        <v>175646</v>
      </c>
      <c r="I701">
        <v>776</v>
      </c>
      <c r="J701" t="s">
        <v>18</v>
      </c>
      <c r="K701">
        <v>11.8</v>
      </c>
      <c r="L701">
        <v>35.5</v>
      </c>
      <c r="M701" t="s">
        <v>23</v>
      </c>
      <c r="N701">
        <v>44566</v>
      </c>
    </row>
    <row r="702" spans="1:14" x14ac:dyDescent="0.35">
      <c r="A702" t="s">
        <v>742</v>
      </c>
      <c r="B702" t="s">
        <v>15</v>
      </c>
      <c r="C702" t="s">
        <v>16</v>
      </c>
      <c r="D702" t="s">
        <v>38</v>
      </c>
      <c r="E702">
        <v>352139</v>
      </c>
      <c r="F702">
        <v>12.68</v>
      </c>
      <c r="G702">
        <v>300</v>
      </c>
      <c r="H702">
        <v>203138</v>
      </c>
      <c r="I702">
        <v>737</v>
      </c>
      <c r="J702" t="s">
        <v>18</v>
      </c>
      <c r="K702">
        <v>11.2</v>
      </c>
      <c r="L702">
        <v>13.1</v>
      </c>
      <c r="M702" t="s">
        <v>19</v>
      </c>
      <c r="N702">
        <v>44729</v>
      </c>
    </row>
    <row r="703" spans="1:14" x14ac:dyDescent="0.35">
      <c r="A703" t="s">
        <v>743</v>
      </c>
      <c r="B703" t="s">
        <v>30</v>
      </c>
      <c r="C703" t="s">
        <v>22</v>
      </c>
      <c r="D703" t="s">
        <v>45</v>
      </c>
      <c r="E703">
        <v>152745</v>
      </c>
      <c r="F703">
        <v>5.0199999999999996</v>
      </c>
      <c r="G703">
        <v>24</v>
      </c>
      <c r="H703">
        <v>179285</v>
      </c>
      <c r="I703">
        <v>783</v>
      </c>
      <c r="J703" t="s">
        <v>18</v>
      </c>
      <c r="K703">
        <v>0.2</v>
      </c>
      <c r="L703">
        <v>25</v>
      </c>
      <c r="M703" t="s">
        <v>23</v>
      </c>
      <c r="N703">
        <v>45372</v>
      </c>
    </row>
    <row r="704" spans="1:14" x14ac:dyDescent="0.35">
      <c r="A704" t="s">
        <v>744</v>
      </c>
      <c r="B704" t="s">
        <v>30</v>
      </c>
      <c r="C704" t="s">
        <v>22</v>
      </c>
      <c r="D704" t="s">
        <v>32</v>
      </c>
      <c r="E704">
        <v>652096</v>
      </c>
      <c r="F704">
        <v>3.48</v>
      </c>
      <c r="G704">
        <v>48</v>
      </c>
      <c r="H704">
        <v>99916</v>
      </c>
      <c r="I704">
        <v>775</v>
      </c>
      <c r="J704" t="s">
        <v>18</v>
      </c>
      <c r="K704">
        <v>20.5</v>
      </c>
      <c r="L704">
        <v>17.899999999999999</v>
      </c>
      <c r="M704" t="s">
        <v>23</v>
      </c>
      <c r="N704">
        <v>45322</v>
      </c>
    </row>
    <row r="705" spans="1:14" x14ac:dyDescent="0.35">
      <c r="A705" t="s">
        <v>745</v>
      </c>
      <c r="B705" t="s">
        <v>30</v>
      </c>
      <c r="C705" t="s">
        <v>22</v>
      </c>
      <c r="D705" t="s">
        <v>17</v>
      </c>
      <c r="E705">
        <v>687416</v>
      </c>
      <c r="F705">
        <v>8.27</v>
      </c>
      <c r="G705">
        <v>120</v>
      </c>
      <c r="H705">
        <v>78906</v>
      </c>
      <c r="I705">
        <v>795</v>
      </c>
      <c r="J705" t="s">
        <v>18</v>
      </c>
      <c r="K705">
        <v>9</v>
      </c>
      <c r="L705">
        <v>37.9</v>
      </c>
      <c r="M705" t="s">
        <v>19</v>
      </c>
      <c r="N705">
        <v>45095</v>
      </c>
    </row>
    <row r="706" spans="1:14" x14ac:dyDescent="0.35">
      <c r="A706" t="s">
        <v>746</v>
      </c>
      <c r="B706" t="s">
        <v>30</v>
      </c>
      <c r="C706" t="s">
        <v>22</v>
      </c>
      <c r="D706" t="s">
        <v>73</v>
      </c>
      <c r="E706">
        <v>142686</v>
      </c>
      <c r="F706">
        <v>5.88</v>
      </c>
      <c r="G706">
        <v>300</v>
      </c>
      <c r="H706">
        <v>28463</v>
      </c>
      <c r="I706">
        <v>775</v>
      </c>
      <c r="J706" t="s">
        <v>26</v>
      </c>
      <c r="K706">
        <v>13.5</v>
      </c>
      <c r="L706">
        <v>18.5</v>
      </c>
      <c r="M706" t="s">
        <v>23</v>
      </c>
      <c r="N706">
        <v>44803</v>
      </c>
    </row>
    <row r="707" spans="1:14" x14ac:dyDescent="0.35">
      <c r="A707" t="s">
        <v>747</v>
      </c>
      <c r="B707" t="s">
        <v>110</v>
      </c>
      <c r="C707" t="s">
        <v>22</v>
      </c>
      <c r="D707" t="s">
        <v>32</v>
      </c>
      <c r="E707">
        <v>12415</v>
      </c>
      <c r="F707">
        <v>3.76</v>
      </c>
      <c r="G707">
        <v>120</v>
      </c>
      <c r="H707">
        <v>191045</v>
      </c>
      <c r="I707">
        <v>731</v>
      </c>
      <c r="J707" t="s">
        <v>26</v>
      </c>
      <c r="K707">
        <v>16.899999999999999</v>
      </c>
      <c r="L707">
        <v>43.3</v>
      </c>
      <c r="M707" t="s">
        <v>19</v>
      </c>
      <c r="N707">
        <v>45069</v>
      </c>
    </row>
    <row r="708" spans="1:14" x14ac:dyDescent="0.35">
      <c r="A708" t="s">
        <v>748</v>
      </c>
      <c r="B708" t="s">
        <v>30</v>
      </c>
      <c r="C708" t="s">
        <v>16</v>
      </c>
      <c r="D708" t="s">
        <v>17</v>
      </c>
      <c r="E708">
        <v>442100</v>
      </c>
      <c r="F708">
        <v>11.39</v>
      </c>
      <c r="G708">
        <v>48</v>
      </c>
      <c r="H708">
        <v>102694</v>
      </c>
      <c r="I708">
        <v>593</v>
      </c>
      <c r="J708" t="s">
        <v>18</v>
      </c>
      <c r="K708">
        <v>17.600000000000001</v>
      </c>
      <c r="L708">
        <v>43.7</v>
      </c>
      <c r="M708" t="s">
        <v>19</v>
      </c>
      <c r="N708">
        <v>45449</v>
      </c>
    </row>
    <row r="709" spans="1:14" x14ac:dyDescent="0.35">
      <c r="A709" t="s">
        <v>749</v>
      </c>
      <c r="B709" t="s">
        <v>25</v>
      </c>
      <c r="C709" t="s">
        <v>16</v>
      </c>
      <c r="D709" t="s">
        <v>45</v>
      </c>
      <c r="E709">
        <v>304188</v>
      </c>
      <c r="F709">
        <v>4.46</v>
      </c>
      <c r="G709">
        <v>60</v>
      </c>
      <c r="H709">
        <v>179723</v>
      </c>
      <c r="I709">
        <v>725</v>
      </c>
      <c r="J709" t="s">
        <v>26</v>
      </c>
      <c r="K709">
        <v>23.9</v>
      </c>
      <c r="L709">
        <v>15.9</v>
      </c>
      <c r="M709" t="s">
        <v>55</v>
      </c>
      <c r="N709">
        <v>45345</v>
      </c>
    </row>
    <row r="710" spans="1:14" x14ac:dyDescent="0.35">
      <c r="A710" t="s">
        <v>750</v>
      </c>
      <c r="B710" t="s">
        <v>30</v>
      </c>
      <c r="C710" t="s">
        <v>16</v>
      </c>
      <c r="D710" t="s">
        <v>17</v>
      </c>
      <c r="E710">
        <v>717509</v>
      </c>
      <c r="F710">
        <v>10.07</v>
      </c>
      <c r="G710">
        <v>48</v>
      </c>
      <c r="H710">
        <v>96694</v>
      </c>
      <c r="I710">
        <v>636</v>
      </c>
      <c r="J710" t="s">
        <v>18</v>
      </c>
      <c r="K710">
        <v>13.3</v>
      </c>
      <c r="L710">
        <v>32.6</v>
      </c>
      <c r="M710" t="s">
        <v>23</v>
      </c>
      <c r="N710">
        <v>44966</v>
      </c>
    </row>
    <row r="711" spans="1:14" x14ac:dyDescent="0.35">
      <c r="A711" t="s">
        <v>751</v>
      </c>
      <c r="B711" t="s">
        <v>28</v>
      </c>
      <c r="C711" t="s">
        <v>16</v>
      </c>
      <c r="D711" t="s">
        <v>17</v>
      </c>
      <c r="E711">
        <v>173616</v>
      </c>
      <c r="F711">
        <v>6.38</v>
      </c>
      <c r="G711">
        <v>120</v>
      </c>
      <c r="H711">
        <v>48008</v>
      </c>
      <c r="I711">
        <v>790</v>
      </c>
      <c r="J711" t="s">
        <v>18</v>
      </c>
      <c r="K711">
        <v>10</v>
      </c>
      <c r="L711">
        <v>11.5</v>
      </c>
      <c r="M711" t="s">
        <v>55</v>
      </c>
      <c r="N711">
        <v>45030</v>
      </c>
    </row>
    <row r="712" spans="1:14" x14ac:dyDescent="0.35">
      <c r="A712" t="s">
        <v>752</v>
      </c>
      <c r="B712" t="s">
        <v>25</v>
      </c>
      <c r="C712" t="s">
        <v>34</v>
      </c>
      <c r="D712" t="s">
        <v>32</v>
      </c>
      <c r="E712">
        <v>54976</v>
      </c>
      <c r="F712">
        <v>5.16</v>
      </c>
      <c r="G712">
        <v>120</v>
      </c>
      <c r="H712">
        <v>98474</v>
      </c>
      <c r="I712">
        <v>847</v>
      </c>
      <c r="J712" t="s">
        <v>18</v>
      </c>
      <c r="K712">
        <v>23.8</v>
      </c>
      <c r="L712">
        <v>23.7</v>
      </c>
      <c r="M712" t="s">
        <v>19</v>
      </c>
      <c r="N712">
        <v>45195</v>
      </c>
    </row>
    <row r="713" spans="1:14" x14ac:dyDescent="0.35">
      <c r="A713" t="s">
        <v>753</v>
      </c>
      <c r="B713" t="s">
        <v>28</v>
      </c>
      <c r="C713" t="s">
        <v>16</v>
      </c>
      <c r="D713" t="s">
        <v>43</v>
      </c>
      <c r="E713">
        <v>430468</v>
      </c>
      <c r="F713">
        <v>7.49</v>
      </c>
      <c r="G713">
        <v>240</v>
      </c>
      <c r="H713">
        <v>66185</v>
      </c>
      <c r="I713">
        <v>789</v>
      </c>
      <c r="J713" t="s">
        <v>18</v>
      </c>
      <c r="K713">
        <v>16.100000000000001</v>
      </c>
      <c r="L713">
        <v>36.5</v>
      </c>
      <c r="M713" t="s">
        <v>55</v>
      </c>
      <c r="N713">
        <v>45134</v>
      </c>
    </row>
    <row r="714" spans="1:14" x14ac:dyDescent="0.35">
      <c r="A714" t="s">
        <v>754</v>
      </c>
      <c r="B714" t="s">
        <v>15</v>
      </c>
      <c r="C714" t="s">
        <v>34</v>
      </c>
      <c r="D714" t="s">
        <v>32</v>
      </c>
      <c r="E714">
        <v>270976</v>
      </c>
      <c r="F714">
        <v>12.26</v>
      </c>
      <c r="G714">
        <v>300</v>
      </c>
      <c r="H714">
        <v>115924</v>
      </c>
      <c r="I714">
        <v>596</v>
      </c>
      <c r="J714" t="s">
        <v>18</v>
      </c>
      <c r="K714">
        <v>7.5</v>
      </c>
      <c r="L714">
        <v>34.4</v>
      </c>
      <c r="M714" t="s">
        <v>23</v>
      </c>
      <c r="N714">
        <v>44432</v>
      </c>
    </row>
    <row r="715" spans="1:14" x14ac:dyDescent="0.35">
      <c r="A715" t="s">
        <v>755</v>
      </c>
      <c r="B715" t="s">
        <v>15</v>
      </c>
      <c r="C715" t="s">
        <v>22</v>
      </c>
      <c r="D715" t="s">
        <v>38</v>
      </c>
      <c r="E715">
        <v>226883</v>
      </c>
      <c r="F715">
        <v>7.63</v>
      </c>
      <c r="G715">
        <v>60</v>
      </c>
      <c r="H715">
        <v>62980</v>
      </c>
      <c r="I715">
        <v>782</v>
      </c>
      <c r="J715" t="s">
        <v>18</v>
      </c>
      <c r="K715">
        <v>3.2</v>
      </c>
      <c r="L715">
        <v>33</v>
      </c>
      <c r="M715" t="s">
        <v>19</v>
      </c>
      <c r="N715">
        <v>44358</v>
      </c>
    </row>
    <row r="716" spans="1:14" x14ac:dyDescent="0.35">
      <c r="A716" t="s">
        <v>756</v>
      </c>
      <c r="B716" t="s">
        <v>30</v>
      </c>
      <c r="C716" t="s">
        <v>22</v>
      </c>
      <c r="D716" t="s">
        <v>52</v>
      </c>
      <c r="E716">
        <v>216509</v>
      </c>
      <c r="F716">
        <v>11.68</v>
      </c>
      <c r="G716">
        <v>48</v>
      </c>
      <c r="H716">
        <v>50504</v>
      </c>
      <c r="I716">
        <v>678</v>
      </c>
      <c r="J716" t="s">
        <v>18</v>
      </c>
      <c r="K716">
        <v>21.1</v>
      </c>
      <c r="L716">
        <v>19.3</v>
      </c>
      <c r="M716" t="s">
        <v>55</v>
      </c>
      <c r="N716">
        <v>44750</v>
      </c>
    </row>
    <row r="717" spans="1:14" x14ac:dyDescent="0.35">
      <c r="A717" t="s">
        <v>757</v>
      </c>
      <c r="B717" t="s">
        <v>71</v>
      </c>
      <c r="C717" t="s">
        <v>22</v>
      </c>
      <c r="D717" t="s">
        <v>17</v>
      </c>
      <c r="E717">
        <v>501965</v>
      </c>
      <c r="F717">
        <v>4.62</v>
      </c>
      <c r="G717">
        <v>300</v>
      </c>
      <c r="H717">
        <v>82970</v>
      </c>
      <c r="I717">
        <v>788</v>
      </c>
      <c r="J717" t="s">
        <v>35</v>
      </c>
      <c r="K717">
        <v>9.1</v>
      </c>
      <c r="L717">
        <v>23.1</v>
      </c>
      <c r="M717" t="s">
        <v>55</v>
      </c>
      <c r="N717">
        <v>44984</v>
      </c>
    </row>
    <row r="718" spans="1:14" x14ac:dyDescent="0.35">
      <c r="A718" t="s">
        <v>758</v>
      </c>
      <c r="B718" t="s">
        <v>25</v>
      </c>
      <c r="C718" t="s">
        <v>16</v>
      </c>
      <c r="D718" t="s">
        <v>17</v>
      </c>
      <c r="E718">
        <v>523823</v>
      </c>
      <c r="F718">
        <v>11.93</v>
      </c>
      <c r="G718">
        <v>12</v>
      </c>
      <c r="H718">
        <v>44766</v>
      </c>
      <c r="I718">
        <v>708</v>
      </c>
      <c r="J718" t="s">
        <v>18</v>
      </c>
      <c r="K718">
        <v>16.5</v>
      </c>
      <c r="L718">
        <v>12.1</v>
      </c>
      <c r="M718" t="s">
        <v>23</v>
      </c>
      <c r="N718">
        <v>45573</v>
      </c>
    </row>
    <row r="719" spans="1:14" x14ac:dyDescent="0.35">
      <c r="A719" t="s">
        <v>759</v>
      </c>
      <c r="B719" t="s">
        <v>21</v>
      </c>
      <c r="C719" t="s">
        <v>34</v>
      </c>
      <c r="D719" t="s">
        <v>32</v>
      </c>
      <c r="E719">
        <v>224526</v>
      </c>
      <c r="F719">
        <v>5.88</v>
      </c>
      <c r="G719">
        <v>300</v>
      </c>
      <c r="H719">
        <v>144944</v>
      </c>
      <c r="I719">
        <v>831</v>
      </c>
      <c r="J719" t="s">
        <v>18</v>
      </c>
      <c r="K719">
        <v>11.8</v>
      </c>
      <c r="L719">
        <v>36.799999999999997</v>
      </c>
      <c r="M719" t="s">
        <v>23</v>
      </c>
      <c r="N719">
        <v>45288</v>
      </c>
    </row>
    <row r="720" spans="1:14" x14ac:dyDescent="0.35">
      <c r="A720" t="s">
        <v>760</v>
      </c>
      <c r="B720" t="s">
        <v>30</v>
      </c>
      <c r="C720" t="s">
        <v>22</v>
      </c>
      <c r="D720" t="s">
        <v>32</v>
      </c>
      <c r="E720">
        <v>352220</v>
      </c>
      <c r="F720">
        <v>10.85</v>
      </c>
      <c r="G720">
        <v>12</v>
      </c>
      <c r="H720">
        <v>121922</v>
      </c>
      <c r="I720">
        <v>844</v>
      </c>
      <c r="J720" t="s">
        <v>18</v>
      </c>
      <c r="K720">
        <v>5</v>
      </c>
      <c r="L720">
        <v>28.2</v>
      </c>
      <c r="M720" t="s">
        <v>23</v>
      </c>
      <c r="N720">
        <v>45393</v>
      </c>
    </row>
    <row r="721" spans="1:14" x14ac:dyDescent="0.35">
      <c r="A721" t="s">
        <v>761</v>
      </c>
      <c r="B721" t="s">
        <v>25</v>
      </c>
      <c r="C721" t="s">
        <v>34</v>
      </c>
      <c r="D721" t="s">
        <v>32</v>
      </c>
      <c r="E721">
        <v>718087</v>
      </c>
      <c r="F721">
        <v>9.59</v>
      </c>
      <c r="G721">
        <v>60</v>
      </c>
      <c r="H721">
        <v>170767</v>
      </c>
      <c r="I721">
        <v>767</v>
      </c>
      <c r="J721" t="s">
        <v>26</v>
      </c>
      <c r="K721">
        <v>15</v>
      </c>
      <c r="L721">
        <v>36.4</v>
      </c>
      <c r="M721" t="s">
        <v>23</v>
      </c>
      <c r="N721">
        <v>44755</v>
      </c>
    </row>
    <row r="722" spans="1:14" x14ac:dyDescent="0.35">
      <c r="A722" t="s">
        <v>762</v>
      </c>
      <c r="B722" t="s">
        <v>71</v>
      </c>
      <c r="C722" t="s">
        <v>22</v>
      </c>
      <c r="D722" t="s">
        <v>73</v>
      </c>
      <c r="E722">
        <v>43578</v>
      </c>
      <c r="F722">
        <v>13.7</v>
      </c>
      <c r="G722">
        <v>48</v>
      </c>
      <c r="H722">
        <v>176868</v>
      </c>
      <c r="I722">
        <v>793</v>
      </c>
      <c r="J722" t="s">
        <v>18</v>
      </c>
      <c r="K722">
        <v>1.5</v>
      </c>
      <c r="L722">
        <v>18</v>
      </c>
      <c r="M722" t="s">
        <v>23</v>
      </c>
      <c r="N722">
        <v>44457</v>
      </c>
    </row>
    <row r="723" spans="1:14" x14ac:dyDescent="0.35">
      <c r="A723" t="s">
        <v>763</v>
      </c>
      <c r="B723" t="s">
        <v>30</v>
      </c>
      <c r="C723" t="s">
        <v>34</v>
      </c>
      <c r="D723" t="s">
        <v>38</v>
      </c>
      <c r="E723">
        <v>619741</v>
      </c>
      <c r="F723">
        <v>7.58</v>
      </c>
      <c r="G723">
        <v>48</v>
      </c>
      <c r="H723">
        <v>201615</v>
      </c>
      <c r="I723">
        <v>790</v>
      </c>
      <c r="J723" t="s">
        <v>26</v>
      </c>
      <c r="K723">
        <v>10.3</v>
      </c>
      <c r="L723">
        <v>21</v>
      </c>
      <c r="M723" t="s">
        <v>23</v>
      </c>
      <c r="N723">
        <v>44413</v>
      </c>
    </row>
    <row r="724" spans="1:14" x14ac:dyDescent="0.35">
      <c r="A724" t="s">
        <v>764</v>
      </c>
      <c r="B724" t="s">
        <v>30</v>
      </c>
      <c r="C724" t="s">
        <v>22</v>
      </c>
      <c r="D724" t="s">
        <v>45</v>
      </c>
      <c r="E724">
        <v>420534</v>
      </c>
      <c r="F724">
        <v>3.95</v>
      </c>
      <c r="G724">
        <v>24</v>
      </c>
      <c r="H724">
        <v>173631</v>
      </c>
      <c r="I724">
        <v>655</v>
      </c>
      <c r="J724" t="s">
        <v>18</v>
      </c>
      <c r="K724">
        <v>13.7</v>
      </c>
      <c r="L724">
        <v>21.4</v>
      </c>
      <c r="M724" t="s">
        <v>55</v>
      </c>
      <c r="N724">
        <v>45344</v>
      </c>
    </row>
    <row r="725" spans="1:14" x14ac:dyDescent="0.35">
      <c r="A725" t="s">
        <v>765</v>
      </c>
      <c r="B725" t="s">
        <v>25</v>
      </c>
      <c r="C725" t="s">
        <v>22</v>
      </c>
      <c r="D725" t="s">
        <v>17</v>
      </c>
      <c r="E725">
        <v>213859</v>
      </c>
      <c r="F725">
        <v>3.42</v>
      </c>
      <c r="G725">
        <v>120</v>
      </c>
      <c r="H725">
        <v>192211</v>
      </c>
      <c r="I725">
        <v>727</v>
      </c>
      <c r="J725" t="s">
        <v>18</v>
      </c>
      <c r="K725">
        <v>10.9</v>
      </c>
      <c r="L725">
        <v>9</v>
      </c>
      <c r="M725" t="s">
        <v>23</v>
      </c>
      <c r="N725">
        <v>45001</v>
      </c>
    </row>
    <row r="726" spans="1:14" x14ac:dyDescent="0.35">
      <c r="A726" t="s">
        <v>766</v>
      </c>
      <c r="B726" t="s">
        <v>15</v>
      </c>
      <c r="C726" t="s">
        <v>22</v>
      </c>
      <c r="D726" t="s">
        <v>43</v>
      </c>
      <c r="E726">
        <v>116435</v>
      </c>
      <c r="F726">
        <v>12.54</v>
      </c>
      <c r="G726">
        <v>36</v>
      </c>
      <c r="H726">
        <v>148494</v>
      </c>
      <c r="I726">
        <v>792</v>
      </c>
      <c r="J726" t="s">
        <v>18</v>
      </c>
      <c r="K726">
        <v>18.7</v>
      </c>
      <c r="L726">
        <v>21.6</v>
      </c>
      <c r="M726" t="s">
        <v>19</v>
      </c>
      <c r="N726">
        <v>45382</v>
      </c>
    </row>
    <row r="727" spans="1:14" x14ac:dyDescent="0.35">
      <c r="A727" t="s">
        <v>767</v>
      </c>
      <c r="B727" t="s">
        <v>25</v>
      </c>
      <c r="C727" t="s">
        <v>22</v>
      </c>
      <c r="D727" t="s">
        <v>52</v>
      </c>
      <c r="E727">
        <v>745389</v>
      </c>
      <c r="F727">
        <v>9.1300000000000008</v>
      </c>
      <c r="G727">
        <v>240</v>
      </c>
      <c r="H727">
        <v>36802</v>
      </c>
      <c r="I727">
        <v>688</v>
      </c>
      <c r="J727" t="s">
        <v>18</v>
      </c>
      <c r="K727">
        <v>20.7</v>
      </c>
      <c r="L727">
        <v>40.1</v>
      </c>
      <c r="M727" t="s">
        <v>23</v>
      </c>
      <c r="N727">
        <v>44397</v>
      </c>
    </row>
    <row r="728" spans="1:14" x14ac:dyDescent="0.35">
      <c r="A728" t="s">
        <v>768</v>
      </c>
      <c r="B728" t="s">
        <v>30</v>
      </c>
      <c r="C728" t="s">
        <v>22</v>
      </c>
      <c r="D728" t="s">
        <v>43</v>
      </c>
      <c r="E728">
        <v>156538</v>
      </c>
      <c r="F728">
        <v>11.96</v>
      </c>
      <c r="G728">
        <v>300</v>
      </c>
      <c r="H728">
        <v>199277</v>
      </c>
      <c r="I728">
        <v>708</v>
      </c>
      <c r="J728" t="s">
        <v>18</v>
      </c>
      <c r="K728">
        <v>19.3</v>
      </c>
      <c r="L728">
        <v>43.9</v>
      </c>
      <c r="M728" t="s">
        <v>23</v>
      </c>
      <c r="N728">
        <v>44598</v>
      </c>
    </row>
    <row r="729" spans="1:14" x14ac:dyDescent="0.35">
      <c r="A729" t="s">
        <v>769</v>
      </c>
      <c r="B729" t="s">
        <v>25</v>
      </c>
      <c r="C729" t="s">
        <v>22</v>
      </c>
      <c r="D729" t="s">
        <v>17</v>
      </c>
      <c r="E729">
        <v>50475</v>
      </c>
      <c r="F729">
        <v>5.85</v>
      </c>
      <c r="G729">
        <v>60</v>
      </c>
      <c r="H729">
        <v>62159</v>
      </c>
      <c r="I729">
        <v>589</v>
      </c>
      <c r="J729" t="s">
        <v>18</v>
      </c>
      <c r="K729">
        <v>1</v>
      </c>
      <c r="L729">
        <v>28.7</v>
      </c>
      <c r="M729" t="s">
        <v>23</v>
      </c>
      <c r="N729">
        <v>44471</v>
      </c>
    </row>
    <row r="730" spans="1:14" x14ac:dyDescent="0.35">
      <c r="A730" t="s">
        <v>770</v>
      </c>
      <c r="B730" t="s">
        <v>30</v>
      </c>
      <c r="C730" t="s">
        <v>34</v>
      </c>
      <c r="D730" t="s">
        <v>45</v>
      </c>
      <c r="E730">
        <v>745520</v>
      </c>
      <c r="F730">
        <v>7.1</v>
      </c>
      <c r="G730">
        <v>36</v>
      </c>
      <c r="H730">
        <v>39516</v>
      </c>
      <c r="I730">
        <v>626</v>
      </c>
      <c r="J730" t="s">
        <v>18</v>
      </c>
      <c r="K730">
        <v>4.9000000000000004</v>
      </c>
      <c r="L730">
        <v>26.2</v>
      </c>
      <c r="M730" t="s">
        <v>23</v>
      </c>
      <c r="N730">
        <v>44402</v>
      </c>
    </row>
    <row r="731" spans="1:14" x14ac:dyDescent="0.35">
      <c r="A731" t="s">
        <v>771</v>
      </c>
      <c r="B731" t="s">
        <v>30</v>
      </c>
      <c r="C731" t="s">
        <v>16</v>
      </c>
      <c r="D731" t="s">
        <v>17</v>
      </c>
      <c r="E731">
        <v>162636</v>
      </c>
      <c r="F731">
        <v>3.54</v>
      </c>
      <c r="G731">
        <v>300</v>
      </c>
      <c r="H731">
        <v>78492</v>
      </c>
      <c r="I731">
        <v>675</v>
      </c>
      <c r="J731" t="s">
        <v>18</v>
      </c>
      <c r="K731">
        <v>13.4</v>
      </c>
      <c r="L731">
        <v>9.1999999999999993</v>
      </c>
      <c r="M731" t="s">
        <v>19</v>
      </c>
      <c r="N731">
        <v>45260</v>
      </c>
    </row>
    <row r="732" spans="1:14" x14ac:dyDescent="0.35">
      <c r="A732" t="s">
        <v>772</v>
      </c>
      <c r="B732" t="s">
        <v>30</v>
      </c>
      <c r="C732" t="s">
        <v>22</v>
      </c>
      <c r="D732" t="s">
        <v>17</v>
      </c>
      <c r="E732">
        <v>158484</v>
      </c>
      <c r="F732">
        <v>14.06</v>
      </c>
      <c r="G732">
        <v>36</v>
      </c>
      <c r="H732">
        <v>57086</v>
      </c>
      <c r="I732">
        <v>682</v>
      </c>
      <c r="J732" t="s">
        <v>18</v>
      </c>
      <c r="K732">
        <v>23.4</v>
      </c>
      <c r="L732">
        <v>43.2</v>
      </c>
      <c r="M732" t="s">
        <v>55</v>
      </c>
      <c r="N732">
        <v>45493</v>
      </c>
    </row>
    <row r="733" spans="1:14" x14ac:dyDescent="0.35">
      <c r="A733" t="s">
        <v>773</v>
      </c>
      <c r="B733" t="s">
        <v>25</v>
      </c>
      <c r="C733" t="s">
        <v>16</v>
      </c>
      <c r="D733" t="s">
        <v>17</v>
      </c>
      <c r="E733">
        <v>98526</v>
      </c>
      <c r="F733">
        <v>10.75</v>
      </c>
      <c r="G733">
        <v>60</v>
      </c>
      <c r="H733">
        <v>141758</v>
      </c>
      <c r="I733">
        <v>725</v>
      </c>
      <c r="J733" t="s">
        <v>35</v>
      </c>
      <c r="K733">
        <v>20.9</v>
      </c>
      <c r="L733">
        <v>8.5</v>
      </c>
      <c r="M733" t="s">
        <v>23</v>
      </c>
      <c r="N733">
        <v>45063</v>
      </c>
    </row>
    <row r="734" spans="1:14" x14ac:dyDescent="0.35">
      <c r="A734" t="s">
        <v>774</v>
      </c>
      <c r="B734" t="s">
        <v>28</v>
      </c>
      <c r="C734" t="s">
        <v>16</v>
      </c>
      <c r="D734" t="s">
        <v>45</v>
      </c>
      <c r="E734">
        <v>56001</v>
      </c>
      <c r="F734">
        <v>13.75</v>
      </c>
      <c r="G734">
        <v>48</v>
      </c>
      <c r="H734">
        <v>58480</v>
      </c>
      <c r="I734">
        <v>606</v>
      </c>
      <c r="J734" t="s">
        <v>18</v>
      </c>
      <c r="K734">
        <v>21.1</v>
      </c>
      <c r="L734">
        <v>45.8</v>
      </c>
      <c r="M734" t="s">
        <v>23</v>
      </c>
      <c r="N734">
        <v>44289</v>
      </c>
    </row>
    <row r="735" spans="1:14" x14ac:dyDescent="0.35">
      <c r="A735" t="s">
        <v>775</v>
      </c>
      <c r="B735" t="s">
        <v>15</v>
      </c>
      <c r="C735" t="s">
        <v>22</v>
      </c>
      <c r="D735" t="s">
        <v>45</v>
      </c>
      <c r="E735">
        <v>197029</v>
      </c>
      <c r="F735">
        <v>6.2</v>
      </c>
      <c r="G735">
        <v>60</v>
      </c>
      <c r="H735">
        <v>211163</v>
      </c>
      <c r="I735">
        <v>799</v>
      </c>
      <c r="J735" t="s">
        <v>26</v>
      </c>
      <c r="K735">
        <v>7.6</v>
      </c>
      <c r="L735">
        <v>27.6</v>
      </c>
      <c r="M735" t="s">
        <v>23</v>
      </c>
      <c r="N735">
        <v>45262</v>
      </c>
    </row>
    <row r="736" spans="1:14" x14ac:dyDescent="0.35">
      <c r="A736" t="s">
        <v>776</v>
      </c>
      <c r="B736" t="s">
        <v>30</v>
      </c>
      <c r="C736" t="s">
        <v>22</v>
      </c>
      <c r="D736" t="s">
        <v>17</v>
      </c>
      <c r="E736">
        <v>433733</v>
      </c>
      <c r="F736">
        <v>10.11</v>
      </c>
      <c r="G736">
        <v>300</v>
      </c>
      <c r="H736">
        <v>156023</v>
      </c>
      <c r="I736">
        <v>597</v>
      </c>
      <c r="J736" t="s">
        <v>26</v>
      </c>
      <c r="K736">
        <v>10.7</v>
      </c>
      <c r="L736">
        <v>21.7</v>
      </c>
      <c r="M736" t="s">
        <v>55</v>
      </c>
      <c r="N736">
        <v>44575</v>
      </c>
    </row>
    <row r="737" spans="1:14" x14ac:dyDescent="0.35">
      <c r="A737" t="s">
        <v>777</v>
      </c>
      <c r="B737" t="s">
        <v>37</v>
      </c>
      <c r="C737" t="s">
        <v>22</v>
      </c>
      <c r="D737" t="s">
        <v>32</v>
      </c>
      <c r="E737">
        <v>673516</v>
      </c>
      <c r="F737">
        <v>10.87</v>
      </c>
      <c r="G737">
        <v>36</v>
      </c>
      <c r="H737">
        <v>138195</v>
      </c>
      <c r="I737">
        <v>746</v>
      </c>
      <c r="J737" t="s">
        <v>18</v>
      </c>
      <c r="K737">
        <v>11.8</v>
      </c>
      <c r="L737">
        <v>45</v>
      </c>
      <c r="M737" t="s">
        <v>19</v>
      </c>
      <c r="N737">
        <v>45327</v>
      </c>
    </row>
    <row r="738" spans="1:14" x14ac:dyDescent="0.35">
      <c r="A738" t="s">
        <v>778</v>
      </c>
      <c r="B738" t="s">
        <v>15</v>
      </c>
      <c r="C738" t="s">
        <v>22</v>
      </c>
      <c r="D738" t="s">
        <v>32</v>
      </c>
      <c r="E738">
        <v>554999</v>
      </c>
      <c r="F738">
        <v>6.79</v>
      </c>
      <c r="G738">
        <v>120</v>
      </c>
      <c r="H738">
        <v>206838</v>
      </c>
      <c r="I738">
        <v>661</v>
      </c>
      <c r="J738" t="s">
        <v>18</v>
      </c>
      <c r="K738">
        <v>3.9</v>
      </c>
      <c r="L738">
        <v>9</v>
      </c>
      <c r="M738" t="s">
        <v>23</v>
      </c>
      <c r="N738">
        <v>45548</v>
      </c>
    </row>
    <row r="739" spans="1:14" x14ac:dyDescent="0.35">
      <c r="A739" t="s">
        <v>779</v>
      </c>
      <c r="B739" t="s">
        <v>25</v>
      </c>
      <c r="C739" t="s">
        <v>16</v>
      </c>
      <c r="D739" t="s">
        <v>17</v>
      </c>
      <c r="E739">
        <v>559394</v>
      </c>
      <c r="F739">
        <v>12.78</v>
      </c>
      <c r="G739">
        <v>240</v>
      </c>
      <c r="H739">
        <v>66737</v>
      </c>
      <c r="I739">
        <v>651</v>
      </c>
      <c r="J739" t="s">
        <v>18</v>
      </c>
      <c r="K739">
        <v>0.8</v>
      </c>
      <c r="L739">
        <v>31.3</v>
      </c>
      <c r="M739" t="s">
        <v>19</v>
      </c>
      <c r="N739">
        <v>44261</v>
      </c>
    </row>
    <row r="740" spans="1:14" x14ac:dyDescent="0.35">
      <c r="A740" t="s">
        <v>780</v>
      </c>
      <c r="B740" t="s">
        <v>15</v>
      </c>
      <c r="C740" t="s">
        <v>22</v>
      </c>
      <c r="D740" t="s">
        <v>17</v>
      </c>
      <c r="E740">
        <v>487488</v>
      </c>
      <c r="F740">
        <v>13.9</v>
      </c>
      <c r="G740">
        <v>240</v>
      </c>
      <c r="H740">
        <v>37265</v>
      </c>
      <c r="I740">
        <v>833</v>
      </c>
      <c r="J740" t="s">
        <v>26</v>
      </c>
      <c r="K740">
        <v>23.7</v>
      </c>
      <c r="L740">
        <v>30</v>
      </c>
      <c r="M740" t="s">
        <v>55</v>
      </c>
      <c r="N740">
        <v>44561</v>
      </c>
    </row>
    <row r="741" spans="1:14" x14ac:dyDescent="0.35">
      <c r="A741" t="s">
        <v>781</v>
      </c>
      <c r="B741" t="s">
        <v>15</v>
      </c>
      <c r="C741" t="s">
        <v>16</v>
      </c>
      <c r="D741" t="s">
        <v>32</v>
      </c>
      <c r="E741">
        <v>397573</v>
      </c>
      <c r="F741">
        <v>13.2</v>
      </c>
      <c r="G741">
        <v>120</v>
      </c>
      <c r="H741">
        <v>142165</v>
      </c>
      <c r="I741">
        <v>741</v>
      </c>
      <c r="J741" t="s">
        <v>26</v>
      </c>
      <c r="K741">
        <v>6</v>
      </c>
      <c r="L741">
        <v>16.8</v>
      </c>
      <c r="M741" t="s">
        <v>23</v>
      </c>
      <c r="N741">
        <v>45017</v>
      </c>
    </row>
    <row r="742" spans="1:14" x14ac:dyDescent="0.35">
      <c r="A742" t="s">
        <v>782</v>
      </c>
      <c r="B742" t="s">
        <v>15</v>
      </c>
      <c r="C742" t="s">
        <v>16</v>
      </c>
      <c r="D742" t="s">
        <v>38</v>
      </c>
      <c r="E742">
        <v>222583</v>
      </c>
      <c r="F742">
        <v>11.55</v>
      </c>
      <c r="G742">
        <v>120</v>
      </c>
      <c r="H742">
        <v>147501</v>
      </c>
      <c r="I742">
        <v>617</v>
      </c>
      <c r="J742" t="s">
        <v>26</v>
      </c>
      <c r="K742">
        <v>6</v>
      </c>
      <c r="L742">
        <v>25.2</v>
      </c>
      <c r="M742" t="s">
        <v>23</v>
      </c>
      <c r="N742">
        <v>45244</v>
      </c>
    </row>
    <row r="743" spans="1:14" x14ac:dyDescent="0.35">
      <c r="A743" t="s">
        <v>783</v>
      </c>
      <c r="B743" t="s">
        <v>30</v>
      </c>
      <c r="C743" t="s">
        <v>22</v>
      </c>
      <c r="D743" t="s">
        <v>17</v>
      </c>
      <c r="E743">
        <v>368898</v>
      </c>
      <c r="F743">
        <v>6.34</v>
      </c>
      <c r="G743">
        <v>48</v>
      </c>
      <c r="H743">
        <v>98990</v>
      </c>
      <c r="I743">
        <v>780</v>
      </c>
      <c r="J743" t="s">
        <v>39</v>
      </c>
      <c r="K743">
        <v>2.1</v>
      </c>
      <c r="L743">
        <v>34.1</v>
      </c>
      <c r="M743" t="s">
        <v>55</v>
      </c>
      <c r="N743">
        <v>44736</v>
      </c>
    </row>
    <row r="744" spans="1:14" x14ac:dyDescent="0.35">
      <c r="A744" t="s">
        <v>784</v>
      </c>
      <c r="B744" t="s">
        <v>25</v>
      </c>
      <c r="C744" t="s">
        <v>16</v>
      </c>
      <c r="D744" t="s">
        <v>17</v>
      </c>
      <c r="E744">
        <v>143286</v>
      </c>
      <c r="F744">
        <v>6.38</v>
      </c>
      <c r="G744">
        <v>300</v>
      </c>
      <c r="H744">
        <v>43386</v>
      </c>
      <c r="I744">
        <v>779</v>
      </c>
      <c r="J744" t="s">
        <v>26</v>
      </c>
      <c r="K744">
        <v>23.2</v>
      </c>
      <c r="L744">
        <v>37.1</v>
      </c>
      <c r="M744" t="s">
        <v>19</v>
      </c>
      <c r="N744">
        <v>45282</v>
      </c>
    </row>
    <row r="745" spans="1:14" x14ac:dyDescent="0.35">
      <c r="A745" t="s">
        <v>785</v>
      </c>
      <c r="B745" t="s">
        <v>15</v>
      </c>
      <c r="C745" t="s">
        <v>22</v>
      </c>
      <c r="D745" t="s">
        <v>17</v>
      </c>
      <c r="E745">
        <v>232189</v>
      </c>
      <c r="F745">
        <v>14.09</v>
      </c>
      <c r="G745">
        <v>12</v>
      </c>
      <c r="H745">
        <v>132718</v>
      </c>
      <c r="I745">
        <v>834</v>
      </c>
      <c r="J745" t="s">
        <v>18</v>
      </c>
      <c r="K745">
        <v>14.5</v>
      </c>
      <c r="L745">
        <v>8</v>
      </c>
      <c r="M745" t="s">
        <v>19</v>
      </c>
      <c r="N745">
        <v>44687</v>
      </c>
    </row>
    <row r="746" spans="1:14" x14ac:dyDescent="0.35">
      <c r="A746" t="s">
        <v>786</v>
      </c>
      <c r="B746" t="s">
        <v>30</v>
      </c>
      <c r="C746" t="s">
        <v>34</v>
      </c>
      <c r="D746" t="s">
        <v>73</v>
      </c>
      <c r="E746">
        <v>131479</v>
      </c>
      <c r="F746">
        <v>3.32</v>
      </c>
      <c r="G746">
        <v>60</v>
      </c>
      <c r="H746">
        <v>65425</v>
      </c>
      <c r="I746">
        <v>758</v>
      </c>
      <c r="J746" t="s">
        <v>18</v>
      </c>
      <c r="K746">
        <v>16.7</v>
      </c>
      <c r="L746">
        <v>45.5</v>
      </c>
      <c r="M746" t="s">
        <v>19</v>
      </c>
      <c r="N746">
        <v>45493</v>
      </c>
    </row>
    <row r="747" spans="1:14" x14ac:dyDescent="0.35">
      <c r="A747" t="s">
        <v>787</v>
      </c>
      <c r="B747" t="s">
        <v>83</v>
      </c>
      <c r="C747" t="s">
        <v>22</v>
      </c>
      <c r="D747" t="s">
        <v>45</v>
      </c>
      <c r="E747">
        <v>425343</v>
      </c>
      <c r="F747">
        <v>11.29</v>
      </c>
      <c r="G747">
        <v>240</v>
      </c>
      <c r="H747">
        <v>149635</v>
      </c>
      <c r="I747">
        <v>614</v>
      </c>
      <c r="J747" t="s">
        <v>39</v>
      </c>
      <c r="K747">
        <v>22.8</v>
      </c>
      <c r="L747">
        <v>14.6</v>
      </c>
      <c r="M747" t="s">
        <v>23</v>
      </c>
      <c r="N747">
        <v>44425</v>
      </c>
    </row>
    <row r="748" spans="1:14" x14ac:dyDescent="0.35">
      <c r="A748" t="s">
        <v>788</v>
      </c>
      <c r="B748" t="s">
        <v>15</v>
      </c>
      <c r="C748" t="s">
        <v>34</v>
      </c>
      <c r="D748" t="s">
        <v>45</v>
      </c>
      <c r="E748">
        <v>141213</v>
      </c>
      <c r="F748">
        <v>11.18</v>
      </c>
      <c r="G748">
        <v>120</v>
      </c>
      <c r="H748">
        <v>202326</v>
      </c>
      <c r="I748">
        <v>661</v>
      </c>
      <c r="J748" t="s">
        <v>18</v>
      </c>
      <c r="K748">
        <v>8.6</v>
      </c>
      <c r="L748">
        <v>17.3</v>
      </c>
      <c r="M748" t="s">
        <v>19</v>
      </c>
      <c r="N748">
        <v>45240</v>
      </c>
    </row>
    <row r="749" spans="1:14" x14ac:dyDescent="0.35">
      <c r="A749" t="s">
        <v>789</v>
      </c>
      <c r="B749" t="s">
        <v>15</v>
      </c>
      <c r="C749" t="s">
        <v>16</v>
      </c>
      <c r="D749" t="s">
        <v>17</v>
      </c>
      <c r="E749">
        <v>558172</v>
      </c>
      <c r="F749">
        <v>10.24</v>
      </c>
      <c r="G749">
        <v>60</v>
      </c>
      <c r="H749">
        <v>81634</v>
      </c>
      <c r="I749">
        <v>799</v>
      </c>
      <c r="J749" t="s">
        <v>18</v>
      </c>
      <c r="K749">
        <v>15.5</v>
      </c>
      <c r="L749">
        <v>18.5</v>
      </c>
      <c r="M749" t="s">
        <v>19</v>
      </c>
      <c r="N749">
        <v>44199</v>
      </c>
    </row>
    <row r="750" spans="1:14" x14ac:dyDescent="0.35">
      <c r="A750" t="s">
        <v>790</v>
      </c>
      <c r="B750" t="s">
        <v>83</v>
      </c>
      <c r="C750" t="s">
        <v>22</v>
      </c>
      <c r="D750" t="s">
        <v>45</v>
      </c>
      <c r="E750">
        <v>269852</v>
      </c>
      <c r="F750">
        <v>14.39</v>
      </c>
      <c r="G750">
        <v>240</v>
      </c>
      <c r="H750">
        <v>206734</v>
      </c>
      <c r="I750">
        <v>737</v>
      </c>
      <c r="J750" t="s">
        <v>26</v>
      </c>
      <c r="K750">
        <v>1</v>
      </c>
      <c r="L750">
        <v>9.5</v>
      </c>
      <c r="M750" t="s">
        <v>23</v>
      </c>
      <c r="N750">
        <v>45641</v>
      </c>
    </row>
    <row r="751" spans="1:14" x14ac:dyDescent="0.35">
      <c r="A751" t="s">
        <v>791</v>
      </c>
      <c r="B751" t="s">
        <v>28</v>
      </c>
      <c r="C751" t="s">
        <v>16</v>
      </c>
      <c r="D751" t="s">
        <v>17</v>
      </c>
      <c r="E751">
        <v>544376</v>
      </c>
      <c r="F751">
        <v>6.72</v>
      </c>
      <c r="G751">
        <v>120</v>
      </c>
      <c r="H751">
        <v>114988</v>
      </c>
      <c r="I751">
        <v>583</v>
      </c>
      <c r="J751" t="s">
        <v>18</v>
      </c>
      <c r="K751">
        <v>4.7</v>
      </c>
      <c r="L751">
        <v>12.9</v>
      </c>
      <c r="M751" t="s">
        <v>19</v>
      </c>
      <c r="N751">
        <v>45107</v>
      </c>
    </row>
    <row r="752" spans="1:14" x14ac:dyDescent="0.35">
      <c r="A752" t="s">
        <v>792</v>
      </c>
      <c r="B752" t="s">
        <v>30</v>
      </c>
      <c r="C752" t="s">
        <v>34</v>
      </c>
      <c r="D752" t="s">
        <v>45</v>
      </c>
      <c r="E752">
        <v>324759</v>
      </c>
      <c r="F752">
        <v>7.04</v>
      </c>
      <c r="G752">
        <v>300</v>
      </c>
      <c r="H752">
        <v>134337</v>
      </c>
      <c r="I752">
        <v>746</v>
      </c>
      <c r="J752" t="s">
        <v>39</v>
      </c>
      <c r="K752">
        <v>20.8</v>
      </c>
      <c r="L752">
        <v>47.5</v>
      </c>
      <c r="M752" t="s">
        <v>55</v>
      </c>
      <c r="N752">
        <v>44503</v>
      </c>
    </row>
    <row r="753" spans="1:14" x14ac:dyDescent="0.35">
      <c r="A753" t="s">
        <v>793</v>
      </c>
      <c r="B753" t="s">
        <v>71</v>
      </c>
      <c r="C753" t="s">
        <v>16</v>
      </c>
      <c r="D753" t="s">
        <v>73</v>
      </c>
      <c r="E753">
        <v>377282</v>
      </c>
      <c r="F753">
        <v>4.09</v>
      </c>
      <c r="G753">
        <v>240</v>
      </c>
      <c r="H753">
        <v>169215</v>
      </c>
      <c r="I753">
        <v>783</v>
      </c>
      <c r="J753" t="s">
        <v>26</v>
      </c>
      <c r="K753">
        <v>19.2</v>
      </c>
      <c r="L753">
        <v>20.6</v>
      </c>
      <c r="M753" t="s">
        <v>23</v>
      </c>
      <c r="N753">
        <v>44628</v>
      </c>
    </row>
    <row r="754" spans="1:14" x14ac:dyDescent="0.35">
      <c r="A754" t="s">
        <v>794</v>
      </c>
      <c r="B754" t="s">
        <v>28</v>
      </c>
      <c r="C754" t="s">
        <v>34</v>
      </c>
      <c r="D754" t="s">
        <v>45</v>
      </c>
      <c r="E754">
        <v>705406</v>
      </c>
      <c r="F754">
        <v>8.1999999999999993</v>
      </c>
      <c r="G754">
        <v>48</v>
      </c>
      <c r="H754">
        <v>174653</v>
      </c>
      <c r="I754">
        <v>773</v>
      </c>
      <c r="J754" t="s">
        <v>18</v>
      </c>
      <c r="K754">
        <v>8.8000000000000007</v>
      </c>
      <c r="L754">
        <v>12.6</v>
      </c>
      <c r="M754" t="s">
        <v>23</v>
      </c>
      <c r="N754">
        <v>44332</v>
      </c>
    </row>
    <row r="755" spans="1:14" x14ac:dyDescent="0.35">
      <c r="A755" t="s">
        <v>795</v>
      </c>
      <c r="B755" t="s">
        <v>30</v>
      </c>
      <c r="C755" t="s">
        <v>34</v>
      </c>
      <c r="D755" t="s">
        <v>43</v>
      </c>
      <c r="E755">
        <v>277158</v>
      </c>
      <c r="F755">
        <v>6.15</v>
      </c>
      <c r="G755">
        <v>12</v>
      </c>
      <c r="H755">
        <v>95443</v>
      </c>
      <c r="I755">
        <v>814</v>
      </c>
      <c r="J755" t="s">
        <v>39</v>
      </c>
      <c r="K755">
        <v>9.4</v>
      </c>
      <c r="L755">
        <v>12.3</v>
      </c>
      <c r="M755" t="s">
        <v>23</v>
      </c>
      <c r="N755">
        <v>44711</v>
      </c>
    </row>
    <row r="756" spans="1:14" x14ac:dyDescent="0.35">
      <c r="A756" t="s">
        <v>796</v>
      </c>
      <c r="B756" t="s">
        <v>30</v>
      </c>
      <c r="C756" t="s">
        <v>22</v>
      </c>
      <c r="D756" t="s">
        <v>38</v>
      </c>
      <c r="E756">
        <v>724785</v>
      </c>
      <c r="F756">
        <v>7.08</v>
      </c>
      <c r="G756">
        <v>12</v>
      </c>
      <c r="H756">
        <v>57424</v>
      </c>
      <c r="I756">
        <v>785</v>
      </c>
      <c r="J756" t="s">
        <v>18</v>
      </c>
      <c r="K756">
        <v>13.3</v>
      </c>
      <c r="L756">
        <v>36.799999999999997</v>
      </c>
      <c r="M756" t="s">
        <v>19</v>
      </c>
      <c r="N756">
        <v>44389</v>
      </c>
    </row>
    <row r="757" spans="1:14" x14ac:dyDescent="0.35">
      <c r="A757" t="s">
        <v>797</v>
      </c>
      <c r="B757" t="s">
        <v>25</v>
      </c>
      <c r="C757" t="s">
        <v>22</v>
      </c>
      <c r="D757" t="s">
        <v>17</v>
      </c>
      <c r="E757">
        <v>401489</v>
      </c>
      <c r="F757">
        <v>12.63</v>
      </c>
      <c r="G757">
        <v>120</v>
      </c>
      <c r="H757">
        <v>116844</v>
      </c>
      <c r="I757">
        <v>729</v>
      </c>
      <c r="J757" t="s">
        <v>18</v>
      </c>
      <c r="K757">
        <v>0</v>
      </c>
      <c r="L757">
        <v>42.2</v>
      </c>
      <c r="M757" t="s">
        <v>23</v>
      </c>
      <c r="N757">
        <v>45635</v>
      </c>
    </row>
    <row r="758" spans="1:14" x14ac:dyDescent="0.35">
      <c r="A758" t="s">
        <v>798</v>
      </c>
      <c r="B758" t="s">
        <v>28</v>
      </c>
      <c r="C758" t="s">
        <v>16</v>
      </c>
      <c r="D758" t="s">
        <v>73</v>
      </c>
      <c r="E758">
        <v>707495</v>
      </c>
      <c r="F758">
        <v>13.77</v>
      </c>
      <c r="G758">
        <v>240</v>
      </c>
      <c r="H758">
        <v>69984</v>
      </c>
      <c r="I758">
        <v>738</v>
      </c>
      <c r="J758" t="s">
        <v>18</v>
      </c>
      <c r="K758">
        <v>6</v>
      </c>
      <c r="L758">
        <v>18.3</v>
      </c>
      <c r="M758" t="s">
        <v>19</v>
      </c>
      <c r="N758">
        <v>45069</v>
      </c>
    </row>
    <row r="759" spans="1:14" x14ac:dyDescent="0.35">
      <c r="A759" t="s">
        <v>799</v>
      </c>
      <c r="B759" t="s">
        <v>15</v>
      </c>
      <c r="C759" t="s">
        <v>22</v>
      </c>
      <c r="D759" t="s">
        <v>17</v>
      </c>
      <c r="E759">
        <v>369986</v>
      </c>
      <c r="F759">
        <v>5.3</v>
      </c>
      <c r="G759">
        <v>48</v>
      </c>
      <c r="H759">
        <v>69505</v>
      </c>
      <c r="I759">
        <v>745</v>
      </c>
      <c r="J759" t="s">
        <v>18</v>
      </c>
      <c r="K759">
        <v>5.2</v>
      </c>
      <c r="L759">
        <v>8.8000000000000007</v>
      </c>
      <c r="M759" t="s">
        <v>55</v>
      </c>
      <c r="N759">
        <v>45338</v>
      </c>
    </row>
    <row r="760" spans="1:14" x14ac:dyDescent="0.35">
      <c r="A760" t="s">
        <v>800</v>
      </c>
      <c r="B760" t="s">
        <v>83</v>
      </c>
      <c r="C760" t="s">
        <v>34</v>
      </c>
      <c r="D760" t="s">
        <v>32</v>
      </c>
      <c r="E760">
        <v>495238</v>
      </c>
      <c r="F760">
        <v>7.41</v>
      </c>
      <c r="G760">
        <v>24</v>
      </c>
      <c r="H760">
        <v>130478</v>
      </c>
      <c r="I760">
        <v>647</v>
      </c>
      <c r="J760" t="s">
        <v>18</v>
      </c>
      <c r="K760">
        <v>6.3</v>
      </c>
      <c r="L760">
        <v>16.899999999999999</v>
      </c>
      <c r="M760" t="s">
        <v>23</v>
      </c>
      <c r="N760">
        <v>44862</v>
      </c>
    </row>
    <row r="761" spans="1:14" x14ac:dyDescent="0.35">
      <c r="A761" t="s">
        <v>801</v>
      </c>
      <c r="B761" t="s">
        <v>25</v>
      </c>
      <c r="C761" t="s">
        <v>34</v>
      </c>
      <c r="D761" t="s">
        <v>17</v>
      </c>
      <c r="E761">
        <v>83077</v>
      </c>
      <c r="F761">
        <v>13.69</v>
      </c>
      <c r="G761">
        <v>60</v>
      </c>
      <c r="H761">
        <v>90699</v>
      </c>
      <c r="I761">
        <v>667</v>
      </c>
      <c r="J761" t="s">
        <v>18</v>
      </c>
      <c r="K761">
        <v>20.100000000000001</v>
      </c>
      <c r="L761">
        <v>10.3</v>
      </c>
      <c r="M761" t="s">
        <v>55</v>
      </c>
      <c r="N761">
        <v>44405</v>
      </c>
    </row>
    <row r="762" spans="1:14" x14ac:dyDescent="0.35">
      <c r="A762" t="s">
        <v>802</v>
      </c>
      <c r="B762" t="s">
        <v>30</v>
      </c>
      <c r="C762" t="s">
        <v>22</v>
      </c>
      <c r="D762" t="s">
        <v>17</v>
      </c>
      <c r="E762">
        <v>144784</v>
      </c>
      <c r="F762">
        <v>3.9</v>
      </c>
      <c r="G762">
        <v>60</v>
      </c>
      <c r="H762">
        <v>186029</v>
      </c>
      <c r="I762">
        <v>796</v>
      </c>
      <c r="J762" t="s">
        <v>18</v>
      </c>
      <c r="K762">
        <v>7</v>
      </c>
      <c r="L762">
        <v>12.1</v>
      </c>
      <c r="M762" t="s">
        <v>48</v>
      </c>
      <c r="N762">
        <v>45148</v>
      </c>
    </row>
    <row r="763" spans="1:14" x14ac:dyDescent="0.35">
      <c r="A763" t="s">
        <v>803</v>
      </c>
      <c r="B763" t="s">
        <v>30</v>
      </c>
      <c r="C763" t="s">
        <v>22</v>
      </c>
      <c r="D763" t="s">
        <v>32</v>
      </c>
      <c r="E763">
        <v>210776</v>
      </c>
      <c r="F763">
        <v>4.24</v>
      </c>
      <c r="G763">
        <v>36</v>
      </c>
      <c r="H763">
        <v>184536</v>
      </c>
      <c r="I763">
        <v>580</v>
      </c>
      <c r="J763" t="s">
        <v>18</v>
      </c>
      <c r="K763">
        <v>4.8</v>
      </c>
      <c r="L763">
        <v>25.3</v>
      </c>
      <c r="M763" t="s">
        <v>23</v>
      </c>
      <c r="N763">
        <v>45254</v>
      </c>
    </row>
    <row r="764" spans="1:14" x14ac:dyDescent="0.35">
      <c r="A764" t="s">
        <v>804</v>
      </c>
      <c r="B764" t="s">
        <v>30</v>
      </c>
      <c r="C764" t="s">
        <v>16</v>
      </c>
      <c r="D764" t="s">
        <v>17</v>
      </c>
      <c r="E764">
        <v>320018</v>
      </c>
      <c r="F764">
        <v>5.04</v>
      </c>
      <c r="G764">
        <v>48</v>
      </c>
      <c r="H764">
        <v>142012</v>
      </c>
      <c r="I764">
        <v>714</v>
      </c>
      <c r="J764" t="s">
        <v>26</v>
      </c>
      <c r="K764">
        <v>12.6</v>
      </c>
      <c r="L764">
        <v>17.2</v>
      </c>
      <c r="M764" t="s">
        <v>23</v>
      </c>
      <c r="N764">
        <v>44845</v>
      </c>
    </row>
    <row r="765" spans="1:14" x14ac:dyDescent="0.35">
      <c r="A765" t="s">
        <v>805</v>
      </c>
      <c r="B765" t="s">
        <v>25</v>
      </c>
      <c r="C765" t="s">
        <v>22</v>
      </c>
      <c r="D765" t="s">
        <v>32</v>
      </c>
      <c r="E765">
        <v>74087</v>
      </c>
      <c r="F765">
        <v>9.93</v>
      </c>
      <c r="G765">
        <v>240</v>
      </c>
      <c r="H765">
        <v>182721</v>
      </c>
      <c r="I765">
        <v>764</v>
      </c>
      <c r="J765" t="s">
        <v>26</v>
      </c>
      <c r="K765">
        <v>21.6</v>
      </c>
      <c r="L765">
        <v>28.6</v>
      </c>
      <c r="M765" t="s">
        <v>48</v>
      </c>
      <c r="N765">
        <v>45538</v>
      </c>
    </row>
    <row r="766" spans="1:14" x14ac:dyDescent="0.35">
      <c r="A766" t="s">
        <v>806</v>
      </c>
      <c r="B766" t="s">
        <v>30</v>
      </c>
      <c r="C766" t="s">
        <v>34</v>
      </c>
      <c r="D766" t="s">
        <v>45</v>
      </c>
      <c r="E766">
        <v>597656</v>
      </c>
      <c r="F766">
        <v>4.9000000000000004</v>
      </c>
      <c r="G766">
        <v>300</v>
      </c>
      <c r="H766">
        <v>201137</v>
      </c>
      <c r="I766">
        <v>719</v>
      </c>
      <c r="J766" t="s">
        <v>18</v>
      </c>
      <c r="K766">
        <v>6</v>
      </c>
      <c r="L766">
        <v>18.100000000000001</v>
      </c>
      <c r="M766" t="s">
        <v>48</v>
      </c>
      <c r="N766">
        <v>44316</v>
      </c>
    </row>
    <row r="767" spans="1:14" x14ac:dyDescent="0.35">
      <c r="A767" t="s">
        <v>807</v>
      </c>
      <c r="B767" t="s">
        <v>15</v>
      </c>
      <c r="C767" t="s">
        <v>22</v>
      </c>
      <c r="D767" t="s">
        <v>17</v>
      </c>
      <c r="E767">
        <v>748859</v>
      </c>
      <c r="F767">
        <v>14.14</v>
      </c>
      <c r="G767">
        <v>300</v>
      </c>
      <c r="H767">
        <v>62758</v>
      </c>
      <c r="I767">
        <v>685</v>
      </c>
      <c r="J767" t="s">
        <v>18</v>
      </c>
      <c r="K767">
        <v>2</v>
      </c>
      <c r="L767">
        <v>45.6</v>
      </c>
      <c r="M767" t="s">
        <v>23</v>
      </c>
      <c r="N767">
        <v>44823</v>
      </c>
    </row>
    <row r="768" spans="1:14" x14ac:dyDescent="0.35">
      <c r="A768" t="s">
        <v>808</v>
      </c>
      <c r="B768" t="s">
        <v>25</v>
      </c>
      <c r="C768" t="s">
        <v>16</v>
      </c>
      <c r="D768" t="s">
        <v>17</v>
      </c>
      <c r="E768">
        <v>346102</v>
      </c>
      <c r="F768">
        <v>8.25</v>
      </c>
      <c r="G768">
        <v>36</v>
      </c>
      <c r="H768">
        <v>164668</v>
      </c>
      <c r="I768">
        <v>712</v>
      </c>
      <c r="J768" t="s">
        <v>18</v>
      </c>
      <c r="K768">
        <v>8.9</v>
      </c>
      <c r="L768">
        <v>44.2</v>
      </c>
      <c r="M768" t="s">
        <v>23</v>
      </c>
      <c r="N768">
        <v>44721</v>
      </c>
    </row>
    <row r="769" spans="1:14" x14ac:dyDescent="0.35">
      <c r="A769" t="s">
        <v>809</v>
      </c>
      <c r="B769" t="s">
        <v>37</v>
      </c>
      <c r="C769" t="s">
        <v>22</v>
      </c>
      <c r="D769" t="s">
        <v>32</v>
      </c>
      <c r="E769">
        <v>300064</v>
      </c>
      <c r="F769">
        <v>8.8699999999999992</v>
      </c>
      <c r="G769">
        <v>120</v>
      </c>
      <c r="H769">
        <v>44374</v>
      </c>
      <c r="I769">
        <v>687</v>
      </c>
      <c r="J769" t="s">
        <v>18</v>
      </c>
      <c r="K769">
        <v>18.7</v>
      </c>
      <c r="L769">
        <v>30.7</v>
      </c>
      <c r="M769" t="s">
        <v>23</v>
      </c>
      <c r="N769">
        <v>44965</v>
      </c>
    </row>
    <row r="770" spans="1:14" x14ac:dyDescent="0.35">
      <c r="A770" t="s">
        <v>810</v>
      </c>
      <c r="B770" t="s">
        <v>30</v>
      </c>
      <c r="C770" t="s">
        <v>16</v>
      </c>
      <c r="D770" t="s">
        <v>17</v>
      </c>
      <c r="E770">
        <v>256514</v>
      </c>
      <c r="F770">
        <v>5.99</v>
      </c>
      <c r="G770">
        <v>240</v>
      </c>
      <c r="H770">
        <v>146686</v>
      </c>
      <c r="I770">
        <v>757</v>
      </c>
      <c r="J770" t="s">
        <v>26</v>
      </c>
      <c r="K770">
        <v>13.8</v>
      </c>
      <c r="L770">
        <v>22.2</v>
      </c>
      <c r="M770" t="s">
        <v>48</v>
      </c>
      <c r="N770">
        <v>45309</v>
      </c>
    </row>
    <row r="771" spans="1:14" x14ac:dyDescent="0.35">
      <c r="A771" t="s">
        <v>811</v>
      </c>
      <c r="B771" t="s">
        <v>25</v>
      </c>
      <c r="C771" t="s">
        <v>22</v>
      </c>
      <c r="D771" t="s">
        <v>38</v>
      </c>
      <c r="E771">
        <v>147180</v>
      </c>
      <c r="F771">
        <v>8.52</v>
      </c>
      <c r="G771">
        <v>36</v>
      </c>
      <c r="H771">
        <v>31775</v>
      </c>
      <c r="I771">
        <v>725</v>
      </c>
      <c r="J771" t="s">
        <v>26</v>
      </c>
      <c r="K771">
        <v>20.399999999999999</v>
      </c>
      <c r="L771">
        <v>23.2</v>
      </c>
      <c r="M771" t="s">
        <v>23</v>
      </c>
      <c r="N771">
        <v>44708</v>
      </c>
    </row>
    <row r="772" spans="1:14" x14ac:dyDescent="0.35">
      <c r="A772" t="s">
        <v>812</v>
      </c>
      <c r="B772" t="s">
        <v>30</v>
      </c>
      <c r="C772" t="s">
        <v>16</v>
      </c>
      <c r="D772" t="s">
        <v>45</v>
      </c>
      <c r="E772">
        <v>440928</v>
      </c>
      <c r="F772">
        <v>10.68</v>
      </c>
      <c r="G772">
        <v>12</v>
      </c>
      <c r="H772">
        <v>55388</v>
      </c>
      <c r="I772">
        <v>653</v>
      </c>
      <c r="J772" t="s">
        <v>18</v>
      </c>
      <c r="K772">
        <v>24</v>
      </c>
      <c r="L772">
        <v>24.5</v>
      </c>
      <c r="M772" t="s">
        <v>23</v>
      </c>
      <c r="N772">
        <v>44243</v>
      </c>
    </row>
    <row r="773" spans="1:14" x14ac:dyDescent="0.35">
      <c r="A773" t="s">
        <v>813</v>
      </c>
      <c r="B773" t="s">
        <v>25</v>
      </c>
      <c r="C773" t="s">
        <v>22</v>
      </c>
      <c r="D773" t="s">
        <v>43</v>
      </c>
      <c r="E773">
        <v>606891</v>
      </c>
      <c r="F773">
        <v>11.69</v>
      </c>
      <c r="G773">
        <v>60</v>
      </c>
      <c r="H773">
        <v>151800</v>
      </c>
      <c r="I773">
        <v>687</v>
      </c>
      <c r="J773" t="s">
        <v>18</v>
      </c>
      <c r="K773">
        <v>19.8</v>
      </c>
      <c r="L773">
        <v>37.1</v>
      </c>
      <c r="M773" t="s">
        <v>55</v>
      </c>
      <c r="N773">
        <v>44968</v>
      </c>
    </row>
    <row r="774" spans="1:14" x14ac:dyDescent="0.35">
      <c r="A774" t="s">
        <v>814</v>
      </c>
      <c r="B774" t="s">
        <v>30</v>
      </c>
      <c r="C774" t="s">
        <v>16</v>
      </c>
      <c r="D774" t="s">
        <v>45</v>
      </c>
      <c r="E774">
        <v>38872</v>
      </c>
      <c r="F774">
        <v>11.72</v>
      </c>
      <c r="G774">
        <v>240</v>
      </c>
      <c r="H774">
        <v>49029</v>
      </c>
      <c r="I774">
        <v>701</v>
      </c>
      <c r="J774" t="s">
        <v>18</v>
      </c>
      <c r="K774">
        <v>15.1</v>
      </c>
      <c r="L774">
        <v>26.1</v>
      </c>
      <c r="M774" t="s">
        <v>23</v>
      </c>
      <c r="N774">
        <v>44936</v>
      </c>
    </row>
    <row r="775" spans="1:14" x14ac:dyDescent="0.35">
      <c r="A775" t="s">
        <v>815</v>
      </c>
      <c r="B775" t="s">
        <v>15</v>
      </c>
      <c r="C775" t="s">
        <v>34</v>
      </c>
      <c r="D775" t="s">
        <v>32</v>
      </c>
      <c r="E775">
        <v>277872</v>
      </c>
      <c r="F775">
        <v>9.73</v>
      </c>
      <c r="G775">
        <v>36</v>
      </c>
      <c r="H775">
        <v>111981</v>
      </c>
      <c r="I775">
        <v>596</v>
      </c>
      <c r="J775" t="s">
        <v>26</v>
      </c>
      <c r="K775">
        <v>12.3</v>
      </c>
      <c r="L775">
        <v>42.3</v>
      </c>
      <c r="M775" t="s">
        <v>19</v>
      </c>
      <c r="N775">
        <v>44718</v>
      </c>
    </row>
    <row r="776" spans="1:14" x14ac:dyDescent="0.35">
      <c r="A776" t="s">
        <v>816</v>
      </c>
      <c r="B776" t="s">
        <v>25</v>
      </c>
      <c r="C776" t="s">
        <v>22</v>
      </c>
      <c r="D776" t="s">
        <v>45</v>
      </c>
      <c r="E776">
        <v>362246</v>
      </c>
      <c r="F776">
        <v>13.42</v>
      </c>
      <c r="G776">
        <v>12</v>
      </c>
      <c r="H776">
        <v>81639</v>
      </c>
      <c r="I776">
        <v>775</v>
      </c>
      <c r="J776" t="s">
        <v>18</v>
      </c>
      <c r="K776">
        <v>1</v>
      </c>
      <c r="L776">
        <v>45.8</v>
      </c>
      <c r="M776" t="s">
        <v>23</v>
      </c>
      <c r="N776">
        <v>45504</v>
      </c>
    </row>
    <row r="777" spans="1:14" x14ac:dyDescent="0.35">
      <c r="A777" t="s">
        <v>817</v>
      </c>
      <c r="B777" t="s">
        <v>30</v>
      </c>
      <c r="C777" t="s">
        <v>22</v>
      </c>
      <c r="D777" t="s">
        <v>17</v>
      </c>
      <c r="E777">
        <v>493535</v>
      </c>
      <c r="F777">
        <v>12.44</v>
      </c>
      <c r="G777">
        <v>48</v>
      </c>
      <c r="H777">
        <v>142010</v>
      </c>
      <c r="I777">
        <v>831</v>
      </c>
      <c r="J777" t="s">
        <v>35</v>
      </c>
      <c r="K777">
        <v>24.6</v>
      </c>
      <c r="L777">
        <v>21.4</v>
      </c>
      <c r="M777" t="s">
        <v>55</v>
      </c>
      <c r="N777">
        <v>45597</v>
      </c>
    </row>
    <row r="778" spans="1:14" x14ac:dyDescent="0.35">
      <c r="A778" t="s">
        <v>818</v>
      </c>
      <c r="B778" t="s">
        <v>30</v>
      </c>
      <c r="C778" t="s">
        <v>22</v>
      </c>
      <c r="D778" t="s">
        <v>17</v>
      </c>
      <c r="E778">
        <v>389193</v>
      </c>
      <c r="F778">
        <v>11.75</v>
      </c>
      <c r="G778">
        <v>36</v>
      </c>
      <c r="H778">
        <v>173717</v>
      </c>
      <c r="I778">
        <v>698</v>
      </c>
      <c r="J778" t="s">
        <v>26</v>
      </c>
      <c r="K778">
        <v>9.6</v>
      </c>
      <c r="L778">
        <v>30.4</v>
      </c>
      <c r="M778" t="s">
        <v>23</v>
      </c>
      <c r="N778">
        <v>44330</v>
      </c>
    </row>
    <row r="779" spans="1:14" x14ac:dyDescent="0.35">
      <c r="A779" t="s">
        <v>819</v>
      </c>
      <c r="B779" t="s">
        <v>28</v>
      </c>
      <c r="C779" t="s">
        <v>16</v>
      </c>
      <c r="D779" t="s">
        <v>38</v>
      </c>
      <c r="E779">
        <v>90774</v>
      </c>
      <c r="F779">
        <v>3.83</v>
      </c>
      <c r="G779">
        <v>120</v>
      </c>
      <c r="H779">
        <v>59105</v>
      </c>
      <c r="I779">
        <v>741</v>
      </c>
      <c r="J779" t="s">
        <v>18</v>
      </c>
      <c r="K779">
        <v>3.8</v>
      </c>
      <c r="L779">
        <v>11.8</v>
      </c>
      <c r="M779" t="s">
        <v>19</v>
      </c>
      <c r="N779">
        <v>44444</v>
      </c>
    </row>
    <row r="780" spans="1:14" x14ac:dyDescent="0.35">
      <c r="A780" t="s">
        <v>820</v>
      </c>
      <c r="B780" t="s">
        <v>28</v>
      </c>
      <c r="C780" t="s">
        <v>16</v>
      </c>
      <c r="D780" t="s">
        <v>32</v>
      </c>
      <c r="E780">
        <v>393518</v>
      </c>
      <c r="F780">
        <v>3.28</v>
      </c>
      <c r="G780">
        <v>120</v>
      </c>
      <c r="H780">
        <v>172740</v>
      </c>
      <c r="I780">
        <v>777</v>
      </c>
      <c r="J780" t="s">
        <v>18</v>
      </c>
      <c r="K780">
        <v>16.7</v>
      </c>
      <c r="L780">
        <v>16</v>
      </c>
      <c r="M780" t="s">
        <v>19</v>
      </c>
      <c r="N780">
        <v>45538</v>
      </c>
    </row>
    <row r="781" spans="1:14" x14ac:dyDescent="0.35">
      <c r="A781" t="s">
        <v>821</v>
      </c>
      <c r="B781" t="s">
        <v>28</v>
      </c>
      <c r="C781" t="s">
        <v>16</v>
      </c>
      <c r="D781" t="s">
        <v>38</v>
      </c>
      <c r="E781">
        <v>203522</v>
      </c>
      <c r="F781">
        <v>5.6</v>
      </c>
      <c r="G781">
        <v>120</v>
      </c>
      <c r="H781">
        <v>175032</v>
      </c>
      <c r="I781">
        <v>624</v>
      </c>
      <c r="J781" t="s">
        <v>39</v>
      </c>
      <c r="K781">
        <v>7.1</v>
      </c>
      <c r="L781">
        <v>24.5</v>
      </c>
      <c r="M781" t="s">
        <v>23</v>
      </c>
      <c r="N781">
        <v>44632</v>
      </c>
    </row>
    <row r="782" spans="1:14" x14ac:dyDescent="0.35">
      <c r="A782" t="s">
        <v>822</v>
      </c>
      <c r="B782" t="s">
        <v>28</v>
      </c>
      <c r="C782" t="s">
        <v>22</v>
      </c>
      <c r="D782" t="s">
        <v>43</v>
      </c>
      <c r="E782">
        <v>225357</v>
      </c>
      <c r="F782">
        <v>10.7</v>
      </c>
      <c r="G782">
        <v>240</v>
      </c>
      <c r="H782">
        <v>154519</v>
      </c>
      <c r="I782">
        <v>758</v>
      </c>
      <c r="J782" t="s">
        <v>18</v>
      </c>
      <c r="K782">
        <v>14.6</v>
      </c>
      <c r="L782">
        <v>16.2</v>
      </c>
      <c r="M782" t="s">
        <v>23</v>
      </c>
      <c r="N782">
        <v>45396</v>
      </c>
    </row>
    <row r="783" spans="1:14" x14ac:dyDescent="0.35">
      <c r="A783" t="s">
        <v>823</v>
      </c>
      <c r="B783" t="s">
        <v>15</v>
      </c>
      <c r="C783" t="s">
        <v>22</v>
      </c>
      <c r="D783" t="s">
        <v>43</v>
      </c>
      <c r="E783">
        <v>417672</v>
      </c>
      <c r="F783">
        <v>7.85</v>
      </c>
      <c r="G783">
        <v>300</v>
      </c>
      <c r="H783">
        <v>170429</v>
      </c>
      <c r="I783">
        <v>623</v>
      </c>
      <c r="J783" t="s">
        <v>18</v>
      </c>
      <c r="K783">
        <v>14.7</v>
      </c>
      <c r="L783">
        <v>43.1</v>
      </c>
      <c r="M783" t="s">
        <v>23</v>
      </c>
      <c r="N783">
        <v>44882</v>
      </c>
    </row>
    <row r="784" spans="1:14" x14ac:dyDescent="0.35">
      <c r="A784" t="s">
        <v>824</v>
      </c>
      <c r="B784" t="s">
        <v>30</v>
      </c>
      <c r="C784" t="s">
        <v>16</v>
      </c>
      <c r="D784" t="s">
        <v>73</v>
      </c>
      <c r="E784">
        <v>70942</v>
      </c>
      <c r="F784">
        <v>7.75</v>
      </c>
      <c r="G784">
        <v>300</v>
      </c>
      <c r="H784">
        <v>130739</v>
      </c>
      <c r="I784">
        <v>657</v>
      </c>
      <c r="J784" t="s">
        <v>18</v>
      </c>
      <c r="K784">
        <v>11.1</v>
      </c>
      <c r="L784">
        <v>14.3</v>
      </c>
      <c r="M784" t="s">
        <v>23</v>
      </c>
      <c r="N784">
        <v>44782</v>
      </c>
    </row>
    <row r="785" spans="1:14" x14ac:dyDescent="0.35">
      <c r="A785" t="s">
        <v>825</v>
      </c>
      <c r="B785" t="s">
        <v>30</v>
      </c>
      <c r="C785" t="s">
        <v>22</v>
      </c>
      <c r="D785" t="s">
        <v>32</v>
      </c>
      <c r="E785">
        <v>542977</v>
      </c>
      <c r="F785">
        <v>13.2</v>
      </c>
      <c r="G785">
        <v>60</v>
      </c>
      <c r="H785">
        <v>79796</v>
      </c>
      <c r="I785">
        <v>757</v>
      </c>
      <c r="J785" t="s">
        <v>39</v>
      </c>
      <c r="K785">
        <v>20.9</v>
      </c>
      <c r="L785">
        <v>26.2</v>
      </c>
      <c r="M785" t="s">
        <v>55</v>
      </c>
      <c r="N785">
        <v>44547</v>
      </c>
    </row>
    <row r="786" spans="1:14" x14ac:dyDescent="0.35">
      <c r="A786" t="s">
        <v>826</v>
      </c>
      <c r="B786" t="s">
        <v>30</v>
      </c>
      <c r="C786" t="s">
        <v>34</v>
      </c>
      <c r="D786" t="s">
        <v>17</v>
      </c>
      <c r="E786">
        <v>562564</v>
      </c>
      <c r="F786">
        <v>13.32</v>
      </c>
      <c r="G786">
        <v>36</v>
      </c>
      <c r="H786">
        <v>43804</v>
      </c>
      <c r="I786">
        <v>582</v>
      </c>
      <c r="J786" t="s">
        <v>26</v>
      </c>
      <c r="K786">
        <v>6.6</v>
      </c>
      <c r="L786">
        <v>32.200000000000003</v>
      </c>
      <c r="M786" t="s">
        <v>55</v>
      </c>
      <c r="N786">
        <v>44339</v>
      </c>
    </row>
    <row r="787" spans="1:14" x14ac:dyDescent="0.35">
      <c r="A787" t="s">
        <v>827</v>
      </c>
      <c r="B787" t="s">
        <v>83</v>
      </c>
      <c r="C787" t="s">
        <v>22</v>
      </c>
      <c r="D787" t="s">
        <v>45</v>
      </c>
      <c r="E787">
        <v>514565</v>
      </c>
      <c r="F787">
        <v>13.47</v>
      </c>
      <c r="G787">
        <v>48</v>
      </c>
      <c r="H787">
        <v>155732</v>
      </c>
      <c r="I787">
        <v>793</v>
      </c>
      <c r="J787" t="s">
        <v>26</v>
      </c>
      <c r="K787">
        <v>11.2</v>
      </c>
      <c r="L787">
        <v>35.700000000000003</v>
      </c>
      <c r="M787" t="s">
        <v>23</v>
      </c>
      <c r="N787">
        <v>45163</v>
      </c>
    </row>
    <row r="788" spans="1:14" x14ac:dyDescent="0.35">
      <c r="A788" t="s">
        <v>828</v>
      </c>
      <c r="B788" t="s">
        <v>15</v>
      </c>
      <c r="C788" t="s">
        <v>16</v>
      </c>
      <c r="D788" t="s">
        <v>17</v>
      </c>
      <c r="E788">
        <v>527552</v>
      </c>
      <c r="F788">
        <v>6.75</v>
      </c>
      <c r="G788">
        <v>36</v>
      </c>
      <c r="H788">
        <v>173698</v>
      </c>
      <c r="I788">
        <v>653</v>
      </c>
      <c r="J788" t="s">
        <v>39</v>
      </c>
      <c r="K788">
        <v>13.4</v>
      </c>
      <c r="L788">
        <v>23.3</v>
      </c>
      <c r="M788" t="s">
        <v>19</v>
      </c>
      <c r="N788">
        <v>45000</v>
      </c>
    </row>
    <row r="789" spans="1:14" x14ac:dyDescent="0.35">
      <c r="A789" t="s">
        <v>829</v>
      </c>
      <c r="B789" t="s">
        <v>15</v>
      </c>
      <c r="C789" t="s">
        <v>22</v>
      </c>
      <c r="D789" t="s">
        <v>45</v>
      </c>
      <c r="E789">
        <v>631256</v>
      </c>
      <c r="F789">
        <v>11.01</v>
      </c>
      <c r="G789">
        <v>60</v>
      </c>
      <c r="H789">
        <v>187204</v>
      </c>
      <c r="I789">
        <v>630</v>
      </c>
      <c r="J789" t="s">
        <v>39</v>
      </c>
      <c r="K789">
        <v>16.600000000000001</v>
      </c>
      <c r="L789">
        <v>42.8</v>
      </c>
      <c r="M789" t="s">
        <v>19</v>
      </c>
      <c r="N789">
        <v>45618</v>
      </c>
    </row>
    <row r="790" spans="1:14" x14ac:dyDescent="0.35">
      <c r="A790" t="s">
        <v>830</v>
      </c>
      <c r="B790" t="s">
        <v>15</v>
      </c>
      <c r="C790" t="s">
        <v>22</v>
      </c>
      <c r="D790" t="s">
        <v>38</v>
      </c>
      <c r="E790">
        <v>418089</v>
      </c>
      <c r="F790">
        <v>6.27</v>
      </c>
      <c r="G790">
        <v>12</v>
      </c>
      <c r="H790">
        <v>35951</v>
      </c>
      <c r="I790">
        <v>646</v>
      </c>
      <c r="J790" t="s">
        <v>39</v>
      </c>
      <c r="K790">
        <v>19.600000000000001</v>
      </c>
      <c r="L790">
        <v>30.7</v>
      </c>
      <c r="M790" t="s">
        <v>55</v>
      </c>
      <c r="N790">
        <v>44914</v>
      </c>
    </row>
    <row r="791" spans="1:14" x14ac:dyDescent="0.35">
      <c r="A791" t="s">
        <v>831</v>
      </c>
      <c r="B791" t="s">
        <v>71</v>
      </c>
      <c r="C791" t="s">
        <v>16</v>
      </c>
      <c r="D791" t="s">
        <v>45</v>
      </c>
      <c r="E791">
        <v>595504</v>
      </c>
      <c r="F791">
        <v>5.35</v>
      </c>
      <c r="G791">
        <v>60</v>
      </c>
      <c r="H791">
        <v>165521</v>
      </c>
      <c r="I791">
        <v>672</v>
      </c>
      <c r="J791" t="s">
        <v>18</v>
      </c>
      <c r="K791">
        <v>9.9</v>
      </c>
      <c r="L791">
        <v>25.6</v>
      </c>
      <c r="M791" t="s">
        <v>23</v>
      </c>
      <c r="N791">
        <v>44839</v>
      </c>
    </row>
    <row r="792" spans="1:14" x14ac:dyDescent="0.35">
      <c r="A792" t="s">
        <v>832</v>
      </c>
      <c r="B792" t="s">
        <v>30</v>
      </c>
      <c r="C792" t="s">
        <v>16</v>
      </c>
      <c r="D792" t="s">
        <v>17</v>
      </c>
      <c r="E792">
        <v>744804</v>
      </c>
      <c r="F792">
        <v>5.29</v>
      </c>
      <c r="G792">
        <v>120</v>
      </c>
      <c r="H792">
        <v>47065</v>
      </c>
      <c r="I792">
        <v>755</v>
      </c>
      <c r="J792" t="s">
        <v>18</v>
      </c>
      <c r="K792">
        <v>16.2</v>
      </c>
      <c r="L792">
        <v>10.7</v>
      </c>
      <c r="M792" t="s">
        <v>23</v>
      </c>
      <c r="N792">
        <v>45589</v>
      </c>
    </row>
    <row r="793" spans="1:14" x14ac:dyDescent="0.35">
      <c r="A793" t="s">
        <v>833</v>
      </c>
      <c r="B793" t="s">
        <v>15</v>
      </c>
      <c r="C793" t="s">
        <v>34</v>
      </c>
      <c r="D793" t="s">
        <v>17</v>
      </c>
      <c r="E793">
        <v>351184</v>
      </c>
      <c r="F793">
        <v>7.07</v>
      </c>
      <c r="G793">
        <v>240</v>
      </c>
      <c r="H793">
        <v>129503</v>
      </c>
      <c r="I793">
        <v>724</v>
      </c>
      <c r="J793" t="s">
        <v>26</v>
      </c>
      <c r="K793">
        <v>3.8</v>
      </c>
      <c r="L793">
        <v>26.6</v>
      </c>
      <c r="M793" t="s">
        <v>23</v>
      </c>
      <c r="N793">
        <v>44697</v>
      </c>
    </row>
    <row r="794" spans="1:14" x14ac:dyDescent="0.35">
      <c r="A794" t="s">
        <v>834</v>
      </c>
      <c r="B794" t="s">
        <v>15</v>
      </c>
      <c r="C794" t="s">
        <v>22</v>
      </c>
      <c r="D794" t="s">
        <v>32</v>
      </c>
      <c r="E794">
        <v>550932</v>
      </c>
      <c r="F794">
        <v>8.06</v>
      </c>
      <c r="G794">
        <v>12</v>
      </c>
      <c r="H794">
        <v>133072</v>
      </c>
      <c r="I794">
        <v>586</v>
      </c>
      <c r="J794" t="s">
        <v>26</v>
      </c>
      <c r="K794">
        <v>23.3</v>
      </c>
      <c r="L794">
        <v>40.799999999999997</v>
      </c>
      <c r="M794" t="s">
        <v>19</v>
      </c>
      <c r="N794">
        <v>44566</v>
      </c>
    </row>
    <row r="795" spans="1:14" x14ac:dyDescent="0.35">
      <c r="A795" t="s">
        <v>835</v>
      </c>
      <c r="B795" t="s">
        <v>28</v>
      </c>
      <c r="C795" t="s">
        <v>22</v>
      </c>
      <c r="D795" t="s">
        <v>17</v>
      </c>
      <c r="E795">
        <v>67021</v>
      </c>
      <c r="F795">
        <v>12.59</v>
      </c>
      <c r="G795">
        <v>240</v>
      </c>
      <c r="H795">
        <v>168202</v>
      </c>
      <c r="I795">
        <v>848</v>
      </c>
      <c r="J795" t="s">
        <v>18</v>
      </c>
      <c r="K795">
        <v>9.6</v>
      </c>
      <c r="L795">
        <v>32.6</v>
      </c>
      <c r="M795" t="s">
        <v>23</v>
      </c>
      <c r="N795">
        <v>45602</v>
      </c>
    </row>
    <row r="796" spans="1:14" x14ac:dyDescent="0.35">
      <c r="A796" t="s">
        <v>836</v>
      </c>
      <c r="B796" t="s">
        <v>30</v>
      </c>
      <c r="C796" t="s">
        <v>16</v>
      </c>
      <c r="D796" t="s">
        <v>73</v>
      </c>
      <c r="E796">
        <v>697485</v>
      </c>
      <c r="F796">
        <v>4.55</v>
      </c>
      <c r="G796">
        <v>120</v>
      </c>
      <c r="H796">
        <v>117360</v>
      </c>
      <c r="I796">
        <v>583</v>
      </c>
      <c r="J796" t="s">
        <v>18</v>
      </c>
      <c r="K796">
        <v>18.2</v>
      </c>
      <c r="L796">
        <v>41.3</v>
      </c>
      <c r="M796" t="s">
        <v>23</v>
      </c>
      <c r="N796">
        <v>45306</v>
      </c>
    </row>
    <row r="797" spans="1:14" x14ac:dyDescent="0.35">
      <c r="A797" t="s">
        <v>837</v>
      </c>
      <c r="B797" t="s">
        <v>37</v>
      </c>
      <c r="C797" t="s">
        <v>16</v>
      </c>
      <c r="D797" t="s">
        <v>17</v>
      </c>
      <c r="E797">
        <v>465115</v>
      </c>
      <c r="F797">
        <v>11.5</v>
      </c>
      <c r="G797">
        <v>24</v>
      </c>
      <c r="H797">
        <v>90287</v>
      </c>
      <c r="I797">
        <v>717</v>
      </c>
      <c r="J797" t="s">
        <v>26</v>
      </c>
      <c r="K797">
        <v>0.5</v>
      </c>
      <c r="L797">
        <v>27.8</v>
      </c>
      <c r="M797" t="s">
        <v>23</v>
      </c>
      <c r="N797">
        <v>44983</v>
      </c>
    </row>
    <row r="798" spans="1:14" x14ac:dyDescent="0.35">
      <c r="A798" t="s">
        <v>838</v>
      </c>
      <c r="B798" t="s">
        <v>71</v>
      </c>
      <c r="C798" t="s">
        <v>22</v>
      </c>
      <c r="D798" t="s">
        <v>17</v>
      </c>
      <c r="E798">
        <v>47291</v>
      </c>
      <c r="F798">
        <v>9.2100000000000009</v>
      </c>
      <c r="G798">
        <v>60</v>
      </c>
      <c r="H798">
        <v>210774</v>
      </c>
      <c r="I798">
        <v>810</v>
      </c>
      <c r="J798" t="s">
        <v>26</v>
      </c>
      <c r="K798">
        <v>5.0999999999999996</v>
      </c>
      <c r="L798">
        <v>12.7</v>
      </c>
      <c r="M798" t="s">
        <v>19</v>
      </c>
      <c r="N798">
        <v>44935</v>
      </c>
    </row>
    <row r="799" spans="1:14" x14ac:dyDescent="0.35">
      <c r="A799" t="s">
        <v>839</v>
      </c>
      <c r="B799" t="s">
        <v>15</v>
      </c>
      <c r="C799" t="s">
        <v>22</v>
      </c>
      <c r="D799" t="s">
        <v>17</v>
      </c>
      <c r="E799">
        <v>433276</v>
      </c>
      <c r="F799">
        <v>6.45</v>
      </c>
      <c r="G799">
        <v>60</v>
      </c>
      <c r="H799">
        <v>196065</v>
      </c>
      <c r="I799">
        <v>667</v>
      </c>
      <c r="J799" t="s">
        <v>18</v>
      </c>
      <c r="K799">
        <v>12.2</v>
      </c>
      <c r="L799">
        <v>8.5</v>
      </c>
      <c r="M799" t="s">
        <v>23</v>
      </c>
      <c r="N799">
        <v>45146</v>
      </c>
    </row>
    <row r="800" spans="1:14" x14ac:dyDescent="0.35">
      <c r="A800" t="s">
        <v>840</v>
      </c>
      <c r="B800" t="s">
        <v>28</v>
      </c>
      <c r="C800" t="s">
        <v>22</v>
      </c>
      <c r="D800" t="s">
        <v>45</v>
      </c>
      <c r="E800">
        <v>399754</v>
      </c>
      <c r="F800">
        <v>8.77</v>
      </c>
      <c r="G800">
        <v>48</v>
      </c>
      <c r="H800">
        <v>190947</v>
      </c>
      <c r="I800">
        <v>596</v>
      </c>
      <c r="J800" t="s">
        <v>18</v>
      </c>
      <c r="K800">
        <v>22</v>
      </c>
      <c r="L800">
        <v>20.100000000000001</v>
      </c>
      <c r="M800" t="s">
        <v>23</v>
      </c>
      <c r="N800">
        <v>45545</v>
      </c>
    </row>
    <row r="801" spans="1:14" x14ac:dyDescent="0.35">
      <c r="A801" t="s">
        <v>841</v>
      </c>
      <c r="B801" t="s">
        <v>71</v>
      </c>
      <c r="C801" t="s">
        <v>34</v>
      </c>
      <c r="D801" t="s">
        <v>45</v>
      </c>
      <c r="E801">
        <v>308664</v>
      </c>
      <c r="F801">
        <v>6.59</v>
      </c>
      <c r="G801">
        <v>36</v>
      </c>
      <c r="H801">
        <v>165126</v>
      </c>
      <c r="I801">
        <v>631</v>
      </c>
      <c r="J801" t="s">
        <v>18</v>
      </c>
      <c r="K801">
        <v>13.2</v>
      </c>
      <c r="L801">
        <v>35.9</v>
      </c>
      <c r="M801" t="s">
        <v>23</v>
      </c>
      <c r="N801">
        <v>44718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318FE-BFDA-4AB1-8E39-5F9C61D45821}">
  <sheetPr codeName="Sheet2"/>
  <dimension ref="A1:D8"/>
  <sheetViews>
    <sheetView workbookViewId="0">
      <selection activeCell="C11" sqref="C11"/>
    </sheetView>
  </sheetViews>
  <sheetFormatPr defaultRowHeight="14.5" x14ac:dyDescent="0.35"/>
  <cols>
    <col min="1" max="1" width="20.90625" customWidth="1"/>
    <col min="2" max="2" width="24.7265625" customWidth="1"/>
    <col min="3" max="3" width="18.08984375" customWidth="1"/>
    <col min="4" max="4" width="18" customWidth="1"/>
  </cols>
  <sheetData>
    <row r="1" spans="1:4" x14ac:dyDescent="0.35">
      <c r="A1" s="2" t="s">
        <v>842</v>
      </c>
      <c r="B1" s="2" t="s">
        <v>843</v>
      </c>
      <c r="C1" s="2" t="s">
        <v>844</v>
      </c>
      <c r="D1" s="2" t="s">
        <v>845</v>
      </c>
    </row>
    <row r="2" spans="1:4" x14ac:dyDescent="0.35">
      <c r="A2" t="s">
        <v>0</v>
      </c>
      <c r="B2" t="s">
        <v>846</v>
      </c>
      <c r="C2" t="s">
        <v>847</v>
      </c>
      <c r="D2" t="s">
        <v>848</v>
      </c>
    </row>
    <row r="3" spans="1:4" x14ac:dyDescent="0.35">
      <c r="A3" t="s">
        <v>1</v>
      </c>
      <c r="B3" t="s">
        <v>849</v>
      </c>
      <c r="C3" t="s">
        <v>847</v>
      </c>
      <c r="D3" t="s">
        <v>850</v>
      </c>
    </row>
    <row r="4" spans="1:4" x14ac:dyDescent="0.35">
      <c r="A4" t="s">
        <v>4</v>
      </c>
      <c r="B4" t="s">
        <v>851</v>
      </c>
      <c r="C4" t="s">
        <v>852</v>
      </c>
      <c r="D4" t="s">
        <v>853</v>
      </c>
    </row>
    <row r="5" spans="1:4" x14ac:dyDescent="0.35">
      <c r="A5" t="s">
        <v>5</v>
      </c>
      <c r="B5" t="s">
        <v>854</v>
      </c>
      <c r="C5" t="s">
        <v>855</v>
      </c>
      <c r="D5" t="s">
        <v>856</v>
      </c>
    </row>
    <row r="6" spans="1:4" x14ac:dyDescent="0.35">
      <c r="A6" t="s">
        <v>8</v>
      </c>
      <c r="B6" t="s">
        <v>857</v>
      </c>
      <c r="C6" t="s">
        <v>852</v>
      </c>
      <c r="D6" t="s">
        <v>858</v>
      </c>
    </row>
    <row r="7" spans="1:4" x14ac:dyDescent="0.35">
      <c r="A7" t="s">
        <v>12</v>
      </c>
      <c r="B7" t="s">
        <v>859</v>
      </c>
      <c r="C7" t="s">
        <v>847</v>
      </c>
      <c r="D7" t="s">
        <v>860</v>
      </c>
    </row>
    <row r="8" spans="1:4" x14ac:dyDescent="0.35">
      <c r="A8" t="s">
        <v>13</v>
      </c>
      <c r="B8" t="s">
        <v>861</v>
      </c>
      <c r="C8" t="s">
        <v>862</v>
      </c>
      <c r="D8" t="s">
        <v>863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F940D-3D50-4D6D-B0F6-D9EB8FD21F3B}">
  <sheetPr codeName="Sheet3"/>
  <dimension ref="A1:F6"/>
  <sheetViews>
    <sheetView workbookViewId="0">
      <selection activeCell="E1" sqref="E1:F1"/>
    </sheetView>
  </sheetViews>
  <sheetFormatPr defaultRowHeight="14.5" x14ac:dyDescent="0.35"/>
  <cols>
    <col min="1" max="1" width="28.7265625" customWidth="1"/>
    <col min="2" max="2" width="17" customWidth="1"/>
    <col min="5" max="5" width="20.7265625" customWidth="1"/>
  </cols>
  <sheetData>
    <row r="1" spans="1:6" x14ac:dyDescent="0.35">
      <c r="A1" s="2" t="s">
        <v>864</v>
      </c>
      <c r="B1" s="2" t="s">
        <v>869</v>
      </c>
      <c r="E1" s="1" t="s">
        <v>870</v>
      </c>
      <c r="F1" s="1" t="s">
        <v>869</v>
      </c>
    </row>
    <row r="2" spans="1:6" x14ac:dyDescent="0.35">
      <c r="A2" t="s">
        <v>865</v>
      </c>
      <c r="B2">
        <f>COUNTBLANK(tbl_loans[Loan_Amount_CAD])</f>
        <v>0</v>
      </c>
      <c r="E2" t="s">
        <v>870</v>
      </c>
      <c r="F2">
        <f>COUNTA(tbl_loans[Loan_ID]) - COUNTA(_xlfn.UNIQUE(tbl_loans[Loan_ID]))</f>
        <v>0</v>
      </c>
    </row>
    <row r="3" spans="1:6" x14ac:dyDescent="0.35">
      <c r="A3" t="s">
        <v>866</v>
      </c>
      <c r="B3">
        <f>COUNTBLANK(tbl_loans[Credit_Score])</f>
        <v>0</v>
      </c>
    </row>
    <row r="4" spans="1:6" x14ac:dyDescent="0.35">
      <c r="A4" t="s">
        <v>867</v>
      </c>
      <c r="B4">
        <f>COUNTBLANK(tbl_loans[Interest_Rate_%])</f>
        <v>0</v>
      </c>
    </row>
    <row r="5" spans="1:6" x14ac:dyDescent="0.35">
      <c r="A5" t="s">
        <v>1</v>
      </c>
      <c r="B5">
        <f>COUNTBLANK(tbl_loans[Province])</f>
        <v>0</v>
      </c>
    </row>
    <row r="6" spans="1:6" x14ac:dyDescent="0.35">
      <c r="A6" t="s">
        <v>868</v>
      </c>
      <c r="B6">
        <f>COUNTBLANK(tbl_loans[Loan_Status])</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75DB6-EFB8-460A-96CC-163494ABFD1A}">
  <sheetPr codeName="Sheet4"/>
  <dimension ref="A1:O801"/>
  <sheetViews>
    <sheetView zoomScale="53" workbookViewId="0">
      <selection activeCell="D18" sqref="D18"/>
    </sheetView>
  </sheetViews>
  <sheetFormatPr defaultRowHeight="14.5" x14ac:dyDescent="0.35"/>
  <cols>
    <col min="1" max="1" width="15" customWidth="1"/>
    <col min="2" max="2" width="20.453125" customWidth="1"/>
    <col min="3" max="3" width="18.26953125" customWidth="1"/>
    <col min="4" max="4" width="21.26953125" customWidth="1"/>
    <col min="5" max="5" width="18.6328125" customWidth="1"/>
    <col min="6" max="6" width="16.26953125" customWidth="1"/>
    <col min="7" max="7" width="18.81640625" customWidth="1"/>
    <col min="8" max="8" width="20.26953125" customWidth="1"/>
    <col min="9" max="9" width="18.1796875" customWidth="1"/>
    <col min="10" max="10" width="16.54296875" customWidth="1"/>
    <col min="11" max="11" width="18.7265625" customWidth="1"/>
    <col min="12" max="12" width="13" customWidth="1"/>
    <col min="13" max="13" width="14.36328125" customWidth="1"/>
    <col min="14" max="14" width="20.54296875" style="7" customWidth="1"/>
    <col min="15" max="15" width="15.36328125" customWidth="1"/>
  </cols>
  <sheetData>
    <row r="1" spans="1:15" x14ac:dyDescent="0.35">
      <c r="A1" t="s">
        <v>0</v>
      </c>
      <c r="B1" t="s">
        <v>1</v>
      </c>
      <c r="C1" t="s">
        <v>2</v>
      </c>
      <c r="D1" t="s">
        <v>3</v>
      </c>
      <c r="E1" t="s">
        <v>4</v>
      </c>
      <c r="F1" t="s">
        <v>5</v>
      </c>
      <c r="G1" t="s">
        <v>6</v>
      </c>
      <c r="H1" t="s">
        <v>7</v>
      </c>
      <c r="I1" t="s">
        <v>8</v>
      </c>
      <c r="J1" t="s">
        <v>9</v>
      </c>
      <c r="K1" t="s">
        <v>10</v>
      </c>
      <c r="L1" t="s">
        <v>11</v>
      </c>
      <c r="M1" t="s">
        <v>12</v>
      </c>
      <c r="N1" s="7" t="s">
        <v>13</v>
      </c>
      <c r="O1" t="s">
        <v>893</v>
      </c>
    </row>
    <row r="2" spans="1:15" x14ac:dyDescent="0.35">
      <c r="A2" t="s">
        <v>351</v>
      </c>
      <c r="B2" t="s">
        <v>30</v>
      </c>
      <c r="C2" t="s">
        <v>22</v>
      </c>
      <c r="D2" t="s">
        <v>17</v>
      </c>
      <c r="E2">
        <v>404009</v>
      </c>
      <c r="F2">
        <v>12.48</v>
      </c>
      <c r="G2">
        <v>12</v>
      </c>
      <c r="H2">
        <v>168167</v>
      </c>
      <c r="I2">
        <v>591</v>
      </c>
      <c r="J2" t="s">
        <v>39</v>
      </c>
      <c r="K2">
        <v>8.1</v>
      </c>
      <c r="L2">
        <v>26.2</v>
      </c>
      <c r="M2" t="s">
        <v>23</v>
      </c>
      <c r="N2" s="7">
        <v>44199</v>
      </c>
      <c r="O2" t="str" cm="1">
        <f t="array" ref="O2">_xlfn.IFS(tbl_loans_clean[[#This Row],[Credit_Score]]&lt;650,"580-649",tbl_loans_clean[[#This Row],[Credit_Score]]&lt;700,"650-699",tbl_loans_clean[[#This Row],[Credit_Score]]&lt;750,"700-749",TRUE,"750+")</f>
        <v>580-649</v>
      </c>
    </row>
    <row r="3" spans="1:15" x14ac:dyDescent="0.35">
      <c r="A3" t="s">
        <v>789</v>
      </c>
      <c r="B3" t="s">
        <v>15</v>
      </c>
      <c r="C3" t="s">
        <v>16</v>
      </c>
      <c r="D3" t="s">
        <v>17</v>
      </c>
      <c r="E3">
        <v>558172</v>
      </c>
      <c r="F3">
        <v>10.24</v>
      </c>
      <c r="G3">
        <v>60</v>
      </c>
      <c r="H3">
        <v>81634</v>
      </c>
      <c r="I3">
        <v>799</v>
      </c>
      <c r="J3" t="s">
        <v>18</v>
      </c>
      <c r="K3">
        <v>15.5</v>
      </c>
      <c r="L3">
        <v>18.5</v>
      </c>
      <c r="M3" t="s">
        <v>19</v>
      </c>
      <c r="N3" s="7">
        <v>44199</v>
      </c>
      <c r="O3" t="str" cm="1">
        <f t="array" ref="O3">_xlfn.IFS(tbl_loans_clean[[#This Row],[Credit_Score]]&lt;650,"580-649",tbl_loans_clean[[#This Row],[Credit_Score]]&lt;700,"650-699",tbl_loans_clean[[#This Row],[Credit_Score]]&lt;750,"700-749",TRUE,"750+")</f>
        <v>750+</v>
      </c>
    </row>
    <row r="4" spans="1:15" x14ac:dyDescent="0.35">
      <c r="A4" t="s">
        <v>282</v>
      </c>
      <c r="B4" t="s">
        <v>21</v>
      </c>
      <c r="C4" t="s">
        <v>16</v>
      </c>
      <c r="D4" t="s">
        <v>32</v>
      </c>
      <c r="E4">
        <v>128853</v>
      </c>
      <c r="F4">
        <v>11.66</v>
      </c>
      <c r="G4">
        <v>240</v>
      </c>
      <c r="H4">
        <v>193565</v>
      </c>
      <c r="I4">
        <v>760</v>
      </c>
      <c r="J4" t="s">
        <v>18</v>
      </c>
      <c r="K4">
        <v>5.4</v>
      </c>
      <c r="L4">
        <v>27.7</v>
      </c>
      <c r="M4" t="s">
        <v>48</v>
      </c>
      <c r="N4" s="7">
        <v>44203</v>
      </c>
      <c r="O4" t="str" cm="1">
        <f t="array" ref="O4">_xlfn.IFS(tbl_loans_clean[[#This Row],[Credit_Score]]&lt;650,"580-649",tbl_loans_clean[[#This Row],[Credit_Score]]&lt;700,"650-699",tbl_loans_clean[[#This Row],[Credit_Score]]&lt;750,"700-749",TRUE,"750+")</f>
        <v>750+</v>
      </c>
    </row>
    <row r="5" spans="1:15" x14ac:dyDescent="0.35">
      <c r="A5" t="s">
        <v>515</v>
      </c>
      <c r="B5" t="s">
        <v>83</v>
      </c>
      <c r="C5" t="s">
        <v>22</v>
      </c>
      <c r="D5" t="s">
        <v>43</v>
      </c>
      <c r="E5">
        <v>117217</v>
      </c>
      <c r="F5">
        <v>13.7</v>
      </c>
      <c r="G5">
        <v>240</v>
      </c>
      <c r="H5">
        <v>130834</v>
      </c>
      <c r="I5">
        <v>730</v>
      </c>
      <c r="J5" t="s">
        <v>26</v>
      </c>
      <c r="K5">
        <v>2.2000000000000002</v>
      </c>
      <c r="L5">
        <v>32.5</v>
      </c>
      <c r="M5" t="s">
        <v>55</v>
      </c>
      <c r="N5" s="7">
        <v>44207</v>
      </c>
      <c r="O5" t="str" cm="1">
        <f t="array" ref="O5">_xlfn.IFS(tbl_loans_clean[[#This Row],[Credit_Score]]&lt;650,"580-649",tbl_loans_clean[[#This Row],[Credit_Score]]&lt;700,"650-699",tbl_loans_clean[[#This Row],[Credit_Score]]&lt;750,"700-749",TRUE,"750+")</f>
        <v>700-749</v>
      </c>
    </row>
    <row r="6" spans="1:15" x14ac:dyDescent="0.35">
      <c r="A6" t="s">
        <v>151</v>
      </c>
      <c r="B6" t="s">
        <v>30</v>
      </c>
      <c r="C6" t="s">
        <v>16</v>
      </c>
      <c r="D6" t="s">
        <v>17</v>
      </c>
      <c r="E6">
        <v>399423</v>
      </c>
      <c r="F6">
        <v>13.9</v>
      </c>
      <c r="G6">
        <v>300</v>
      </c>
      <c r="H6">
        <v>133686</v>
      </c>
      <c r="I6">
        <v>581</v>
      </c>
      <c r="J6" t="s">
        <v>18</v>
      </c>
      <c r="K6">
        <v>6</v>
      </c>
      <c r="L6">
        <v>33.200000000000003</v>
      </c>
      <c r="M6" t="s">
        <v>23</v>
      </c>
      <c r="N6" s="7">
        <v>44209</v>
      </c>
      <c r="O6" t="str" cm="1">
        <f t="array" ref="O6">_xlfn.IFS(tbl_loans_clean[[#This Row],[Credit_Score]]&lt;650,"580-649",tbl_loans_clean[[#This Row],[Credit_Score]]&lt;700,"650-699",tbl_loans_clean[[#This Row],[Credit_Score]]&lt;750,"700-749",TRUE,"750+")</f>
        <v>580-649</v>
      </c>
    </row>
    <row r="7" spans="1:15" x14ac:dyDescent="0.35">
      <c r="A7" t="s">
        <v>424</v>
      </c>
      <c r="B7" t="s">
        <v>28</v>
      </c>
      <c r="C7" t="s">
        <v>16</v>
      </c>
      <c r="D7" t="s">
        <v>32</v>
      </c>
      <c r="E7">
        <v>620175</v>
      </c>
      <c r="F7">
        <v>6.75</v>
      </c>
      <c r="G7">
        <v>24</v>
      </c>
      <c r="H7">
        <v>207736</v>
      </c>
      <c r="I7">
        <v>821</v>
      </c>
      <c r="J7" t="s">
        <v>26</v>
      </c>
      <c r="K7">
        <v>16</v>
      </c>
      <c r="L7">
        <v>8.9</v>
      </c>
      <c r="M7" t="s">
        <v>23</v>
      </c>
      <c r="N7" s="7">
        <v>44209</v>
      </c>
      <c r="O7" t="str" cm="1">
        <f t="array" ref="O7">_xlfn.IFS(tbl_loans_clean[[#This Row],[Credit_Score]]&lt;650,"580-649",tbl_loans_clean[[#This Row],[Credit_Score]]&lt;700,"650-699",tbl_loans_clean[[#This Row],[Credit_Score]]&lt;750,"700-749",TRUE,"750+")</f>
        <v>750+</v>
      </c>
    </row>
    <row r="8" spans="1:15" x14ac:dyDescent="0.35">
      <c r="A8" t="s">
        <v>267</v>
      </c>
      <c r="B8" t="s">
        <v>21</v>
      </c>
      <c r="C8" t="s">
        <v>34</v>
      </c>
      <c r="D8" t="s">
        <v>17</v>
      </c>
      <c r="E8">
        <v>468937</v>
      </c>
      <c r="F8">
        <v>13.97</v>
      </c>
      <c r="G8">
        <v>120</v>
      </c>
      <c r="H8">
        <v>131780</v>
      </c>
      <c r="I8">
        <v>626</v>
      </c>
      <c r="J8" t="s">
        <v>26</v>
      </c>
      <c r="K8">
        <v>13.2</v>
      </c>
      <c r="L8">
        <v>38.299999999999997</v>
      </c>
      <c r="M8" t="s">
        <v>23</v>
      </c>
      <c r="N8" s="7">
        <v>44210</v>
      </c>
      <c r="O8" t="str" cm="1">
        <f t="array" ref="O8">_xlfn.IFS(tbl_loans_clean[[#This Row],[Credit_Score]]&lt;650,"580-649",tbl_loans_clean[[#This Row],[Credit_Score]]&lt;700,"650-699",tbl_loans_clean[[#This Row],[Credit_Score]]&lt;750,"700-749",TRUE,"750+")</f>
        <v>580-649</v>
      </c>
    </row>
    <row r="9" spans="1:15" x14ac:dyDescent="0.35">
      <c r="A9" t="s">
        <v>375</v>
      </c>
      <c r="B9" t="s">
        <v>30</v>
      </c>
      <c r="C9" t="s">
        <v>22</v>
      </c>
      <c r="D9" t="s">
        <v>45</v>
      </c>
      <c r="E9">
        <v>226035</v>
      </c>
      <c r="F9">
        <v>12.28</v>
      </c>
      <c r="G9">
        <v>60</v>
      </c>
      <c r="H9">
        <v>63081</v>
      </c>
      <c r="I9">
        <v>596</v>
      </c>
      <c r="J9" t="s">
        <v>39</v>
      </c>
      <c r="K9">
        <v>10.3</v>
      </c>
      <c r="L9">
        <v>21</v>
      </c>
      <c r="M9" t="s">
        <v>23</v>
      </c>
      <c r="N9" s="7">
        <v>44212</v>
      </c>
      <c r="O9" t="str" cm="1">
        <f t="array" ref="O9">_xlfn.IFS(tbl_loans_clean[[#This Row],[Credit_Score]]&lt;650,"580-649",tbl_loans_clean[[#This Row],[Credit_Score]]&lt;700,"650-699",tbl_loans_clean[[#This Row],[Credit_Score]]&lt;750,"700-749",TRUE,"750+")</f>
        <v>580-649</v>
      </c>
    </row>
    <row r="10" spans="1:15" x14ac:dyDescent="0.35">
      <c r="A10" t="s">
        <v>623</v>
      </c>
      <c r="B10" t="s">
        <v>110</v>
      </c>
      <c r="C10" t="s">
        <v>22</v>
      </c>
      <c r="D10" t="s">
        <v>17</v>
      </c>
      <c r="E10">
        <v>163763</v>
      </c>
      <c r="F10">
        <v>8.68</v>
      </c>
      <c r="G10">
        <v>48</v>
      </c>
      <c r="H10">
        <v>142159</v>
      </c>
      <c r="I10">
        <v>630</v>
      </c>
      <c r="J10" t="s">
        <v>18</v>
      </c>
      <c r="K10">
        <v>23</v>
      </c>
      <c r="L10">
        <v>47.3</v>
      </c>
      <c r="M10" t="s">
        <v>55</v>
      </c>
      <c r="N10" s="7">
        <v>44212</v>
      </c>
      <c r="O10" t="str" cm="1">
        <f t="array" ref="O10">_xlfn.IFS(tbl_loans_clean[[#This Row],[Credit_Score]]&lt;650,"580-649",tbl_loans_clean[[#This Row],[Credit_Score]]&lt;700,"650-699",tbl_loans_clean[[#This Row],[Credit_Score]]&lt;750,"700-749",TRUE,"750+")</f>
        <v>580-649</v>
      </c>
    </row>
    <row r="11" spans="1:15" x14ac:dyDescent="0.35">
      <c r="A11" t="s">
        <v>70</v>
      </c>
      <c r="B11" t="s">
        <v>71</v>
      </c>
      <c r="C11" t="s">
        <v>22</v>
      </c>
      <c r="D11" t="s">
        <v>38</v>
      </c>
      <c r="E11">
        <v>138241</v>
      </c>
      <c r="F11">
        <v>13.05</v>
      </c>
      <c r="G11">
        <v>300</v>
      </c>
      <c r="H11">
        <v>156674</v>
      </c>
      <c r="I11">
        <v>666</v>
      </c>
      <c r="J11" t="s">
        <v>35</v>
      </c>
      <c r="K11">
        <v>14.2</v>
      </c>
      <c r="L11">
        <v>8.6999999999999993</v>
      </c>
      <c r="M11" t="s">
        <v>55</v>
      </c>
      <c r="N11" s="7">
        <v>44216</v>
      </c>
      <c r="O11" t="str" cm="1">
        <f t="array" ref="O11">_xlfn.IFS(tbl_loans_clean[[#This Row],[Credit_Score]]&lt;650,"580-649",tbl_loans_clean[[#This Row],[Credit_Score]]&lt;700,"650-699",tbl_loans_clean[[#This Row],[Credit_Score]]&lt;750,"700-749",TRUE,"750+")</f>
        <v>650-699</v>
      </c>
    </row>
    <row r="12" spans="1:15" x14ac:dyDescent="0.35">
      <c r="A12" t="s">
        <v>251</v>
      </c>
      <c r="B12" t="s">
        <v>15</v>
      </c>
      <c r="C12" t="s">
        <v>22</v>
      </c>
      <c r="D12" t="s">
        <v>45</v>
      </c>
      <c r="E12">
        <v>651403</v>
      </c>
      <c r="F12">
        <v>10.71</v>
      </c>
      <c r="G12">
        <v>48</v>
      </c>
      <c r="H12">
        <v>127782</v>
      </c>
      <c r="I12">
        <v>782</v>
      </c>
      <c r="J12" t="s">
        <v>26</v>
      </c>
      <c r="K12">
        <v>23.7</v>
      </c>
      <c r="L12">
        <v>34.799999999999997</v>
      </c>
      <c r="M12" t="s">
        <v>48</v>
      </c>
      <c r="N12" s="7">
        <v>44216</v>
      </c>
      <c r="O12" t="str" cm="1">
        <f t="array" ref="O12">_xlfn.IFS(tbl_loans_clean[[#This Row],[Credit_Score]]&lt;650,"580-649",tbl_loans_clean[[#This Row],[Credit_Score]]&lt;700,"650-699",tbl_loans_clean[[#This Row],[Credit_Score]]&lt;750,"700-749",TRUE,"750+")</f>
        <v>750+</v>
      </c>
    </row>
    <row r="13" spans="1:15" x14ac:dyDescent="0.35">
      <c r="A13" t="s">
        <v>398</v>
      </c>
      <c r="B13" t="s">
        <v>30</v>
      </c>
      <c r="C13" t="s">
        <v>22</v>
      </c>
      <c r="D13" t="s">
        <v>45</v>
      </c>
      <c r="E13">
        <v>240469</v>
      </c>
      <c r="F13">
        <v>11.86</v>
      </c>
      <c r="G13">
        <v>240</v>
      </c>
      <c r="H13">
        <v>186353</v>
      </c>
      <c r="I13">
        <v>664</v>
      </c>
      <c r="J13" t="s">
        <v>26</v>
      </c>
      <c r="K13">
        <v>23.4</v>
      </c>
      <c r="L13">
        <v>15</v>
      </c>
      <c r="M13" t="s">
        <v>23</v>
      </c>
      <c r="N13" s="7">
        <v>44217</v>
      </c>
      <c r="O13" t="str" cm="1">
        <f t="array" ref="O13">_xlfn.IFS(tbl_loans_clean[[#This Row],[Credit_Score]]&lt;650,"580-649",tbl_loans_clean[[#This Row],[Credit_Score]]&lt;700,"650-699",tbl_loans_clean[[#This Row],[Credit_Score]]&lt;750,"700-749",TRUE,"750+")</f>
        <v>650-699</v>
      </c>
    </row>
    <row r="14" spans="1:15" x14ac:dyDescent="0.35">
      <c r="A14" t="s">
        <v>429</v>
      </c>
      <c r="B14" t="s">
        <v>30</v>
      </c>
      <c r="C14" t="s">
        <v>22</v>
      </c>
      <c r="D14" t="s">
        <v>32</v>
      </c>
      <c r="E14">
        <v>483356</v>
      </c>
      <c r="F14">
        <v>8.93</v>
      </c>
      <c r="G14">
        <v>300</v>
      </c>
      <c r="H14">
        <v>112817</v>
      </c>
      <c r="I14">
        <v>795</v>
      </c>
      <c r="J14" t="s">
        <v>26</v>
      </c>
      <c r="K14">
        <v>11.2</v>
      </c>
      <c r="L14">
        <v>13.1</v>
      </c>
      <c r="M14" t="s">
        <v>23</v>
      </c>
      <c r="N14" s="7">
        <v>44221</v>
      </c>
      <c r="O14" t="str" cm="1">
        <f t="array" ref="O14">_xlfn.IFS(tbl_loans_clean[[#This Row],[Credit_Score]]&lt;650,"580-649",tbl_loans_clean[[#This Row],[Credit_Score]]&lt;700,"650-699",tbl_loans_clean[[#This Row],[Credit_Score]]&lt;750,"700-749",TRUE,"750+")</f>
        <v>750+</v>
      </c>
    </row>
    <row r="15" spans="1:15" x14ac:dyDescent="0.35">
      <c r="A15" t="s">
        <v>59</v>
      </c>
      <c r="B15" t="s">
        <v>30</v>
      </c>
      <c r="C15" t="s">
        <v>22</v>
      </c>
      <c r="D15" t="s">
        <v>45</v>
      </c>
      <c r="E15">
        <v>435442</v>
      </c>
      <c r="F15">
        <v>11.32</v>
      </c>
      <c r="G15">
        <v>120</v>
      </c>
      <c r="H15">
        <v>117524</v>
      </c>
      <c r="I15">
        <v>704</v>
      </c>
      <c r="J15" t="s">
        <v>18</v>
      </c>
      <c r="K15">
        <v>14.8</v>
      </c>
      <c r="L15">
        <v>28.1</v>
      </c>
      <c r="M15" t="s">
        <v>19</v>
      </c>
      <c r="N15" s="7">
        <v>44222</v>
      </c>
      <c r="O15" t="str" cm="1">
        <f t="array" ref="O15">_xlfn.IFS(tbl_loans_clean[[#This Row],[Credit_Score]]&lt;650,"580-649",tbl_loans_clean[[#This Row],[Credit_Score]]&lt;700,"650-699",tbl_loans_clean[[#This Row],[Credit_Score]]&lt;750,"700-749",TRUE,"750+")</f>
        <v>700-749</v>
      </c>
    </row>
    <row r="16" spans="1:15" x14ac:dyDescent="0.35">
      <c r="A16" t="s">
        <v>578</v>
      </c>
      <c r="B16" t="s">
        <v>25</v>
      </c>
      <c r="C16" t="s">
        <v>22</v>
      </c>
      <c r="D16" t="s">
        <v>17</v>
      </c>
      <c r="E16">
        <v>622632</v>
      </c>
      <c r="F16">
        <v>14.47</v>
      </c>
      <c r="G16">
        <v>24</v>
      </c>
      <c r="H16">
        <v>148209</v>
      </c>
      <c r="I16">
        <v>840</v>
      </c>
      <c r="J16" t="s">
        <v>26</v>
      </c>
      <c r="K16">
        <v>21.3</v>
      </c>
      <c r="L16">
        <v>28.9</v>
      </c>
      <c r="M16" t="s">
        <v>19</v>
      </c>
      <c r="N16" s="7">
        <v>44222</v>
      </c>
      <c r="O16" t="str" cm="1">
        <f t="array" ref="O16">_xlfn.IFS(tbl_loans_clean[[#This Row],[Credit_Score]]&lt;650,"580-649",tbl_loans_clean[[#This Row],[Credit_Score]]&lt;700,"650-699",tbl_loans_clean[[#This Row],[Credit_Score]]&lt;750,"700-749",TRUE,"750+")</f>
        <v>750+</v>
      </c>
    </row>
    <row r="17" spans="1:15" x14ac:dyDescent="0.35">
      <c r="A17" t="s">
        <v>306</v>
      </c>
      <c r="B17" t="s">
        <v>37</v>
      </c>
      <c r="C17" t="s">
        <v>22</v>
      </c>
      <c r="D17" t="s">
        <v>52</v>
      </c>
      <c r="E17">
        <v>125263</v>
      </c>
      <c r="F17">
        <v>9.07</v>
      </c>
      <c r="G17">
        <v>120</v>
      </c>
      <c r="H17">
        <v>47627</v>
      </c>
      <c r="I17">
        <v>727</v>
      </c>
      <c r="J17" t="s">
        <v>18</v>
      </c>
      <c r="K17">
        <v>21.1</v>
      </c>
      <c r="L17">
        <v>9.6</v>
      </c>
      <c r="M17" t="s">
        <v>19</v>
      </c>
      <c r="N17" s="7">
        <v>44223</v>
      </c>
      <c r="O17" t="str" cm="1">
        <f t="array" ref="O17">_xlfn.IFS(tbl_loans_clean[[#This Row],[Credit_Score]]&lt;650,"580-649",tbl_loans_clean[[#This Row],[Credit_Score]]&lt;700,"650-699",tbl_loans_clean[[#This Row],[Credit_Score]]&lt;750,"700-749",TRUE,"750+")</f>
        <v>700-749</v>
      </c>
    </row>
    <row r="18" spans="1:15" x14ac:dyDescent="0.35">
      <c r="A18" t="s">
        <v>81</v>
      </c>
      <c r="B18" t="s">
        <v>30</v>
      </c>
      <c r="C18" t="s">
        <v>22</v>
      </c>
      <c r="D18" t="s">
        <v>32</v>
      </c>
      <c r="E18">
        <v>207747</v>
      </c>
      <c r="F18">
        <v>10.82</v>
      </c>
      <c r="G18">
        <v>240</v>
      </c>
      <c r="H18">
        <v>166202</v>
      </c>
      <c r="I18">
        <v>768</v>
      </c>
      <c r="J18" t="s">
        <v>18</v>
      </c>
      <c r="K18">
        <v>21.7</v>
      </c>
      <c r="L18">
        <v>22.3</v>
      </c>
      <c r="M18" t="s">
        <v>23</v>
      </c>
      <c r="N18" s="7">
        <v>44224</v>
      </c>
      <c r="O18" t="str" cm="1">
        <f t="array" ref="O18">_xlfn.IFS(tbl_loans_clean[[#This Row],[Credit_Score]]&lt;650,"580-649",tbl_loans_clean[[#This Row],[Credit_Score]]&lt;700,"650-699",tbl_loans_clean[[#This Row],[Credit_Score]]&lt;750,"700-749",TRUE,"750+")</f>
        <v>750+</v>
      </c>
    </row>
    <row r="19" spans="1:15" x14ac:dyDescent="0.35">
      <c r="A19" t="s">
        <v>601</v>
      </c>
      <c r="B19" t="s">
        <v>28</v>
      </c>
      <c r="C19" t="s">
        <v>16</v>
      </c>
      <c r="D19" t="s">
        <v>38</v>
      </c>
      <c r="E19">
        <v>718987</v>
      </c>
      <c r="F19">
        <v>4.8600000000000003</v>
      </c>
      <c r="G19">
        <v>24</v>
      </c>
      <c r="H19">
        <v>137164</v>
      </c>
      <c r="I19">
        <v>648</v>
      </c>
      <c r="J19" t="s">
        <v>26</v>
      </c>
      <c r="K19">
        <v>1.3</v>
      </c>
      <c r="L19">
        <v>15.2</v>
      </c>
      <c r="M19" t="s">
        <v>48</v>
      </c>
      <c r="N19" s="7">
        <v>44230</v>
      </c>
      <c r="O19" t="str" cm="1">
        <f t="array" ref="O19">_xlfn.IFS(tbl_loans_clean[[#This Row],[Credit_Score]]&lt;650,"580-649",tbl_loans_clean[[#This Row],[Credit_Score]]&lt;700,"650-699",tbl_loans_clean[[#This Row],[Credit_Score]]&lt;750,"700-749",TRUE,"750+")</f>
        <v>580-649</v>
      </c>
    </row>
    <row r="20" spans="1:15" x14ac:dyDescent="0.35">
      <c r="A20" t="s">
        <v>448</v>
      </c>
      <c r="B20" t="s">
        <v>15</v>
      </c>
      <c r="C20" t="s">
        <v>16</v>
      </c>
      <c r="D20" t="s">
        <v>32</v>
      </c>
      <c r="E20">
        <v>565897</v>
      </c>
      <c r="F20">
        <v>6.19</v>
      </c>
      <c r="G20">
        <v>60</v>
      </c>
      <c r="H20">
        <v>204832</v>
      </c>
      <c r="I20">
        <v>597</v>
      </c>
      <c r="J20" t="s">
        <v>18</v>
      </c>
      <c r="K20">
        <v>3.4</v>
      </c>
      <c r="L20">
        <v>17</v>
      </c>
      <c r="M20" t="s">
        <v>19</v>
      </c>
      <c r="N20" s="7">
        <v>44236</v>
      </c>
      <c r="O20" t="str" cm="1">
        <f t="array" ref="O20">_xlfn.IFS(tbl_loans_clean[[#This Row],[Credit_Score]]&lt;650,"580-649",tbl_loans_clean[[#This Row],[Credit_Score]]&lt;700,"650-699",tbl_loans_clean[[#This Row],[Credit_Score]]&lt;750,"700-749",TRUE,"750+")</f>
        <v>580-649</v>
      </c>
    </row>
    <row r="21" spans="1:15" x14ac:dyDescent="0.35">
      <c r="A21" t="s">
        <v>161</v>
      </c>
      <c r="B21" t="s">
        <v>25</v>
      </c>
      <c r="C21" t="s">
        <v>34</v>
      </c>
      <c r="D21" t="s">
        <v>17</v>
      </c>
      <c r="E21">
        <v>43635</v>
      </c>
      <c r="F21">
        <v>7.81</v>
      </c>
      <c r="G21">
        <v>12</v>
      </c>
      <c r="H21">
        <v>74546</v>
      </c>
      <c r="I21">
        <v>790</v>
      </c>
      <c r="J21" t="s">
        <v>26</v>
      </c>
      <c r="K21">
        <v>23.4</v>
      </c>
      <c r="L21">
        <v>23.1</v>
      </c>
      <c r="M21" t="s">
        <v>23</v>
      </c>
      <c r="N21" s="7">
        <v>44239</v>
      </c>
      <c r="O21" t="str" cm="1">
        <f t="array" ref="O21">_xlfn.IFS(tbl_loans_clean[[#This Row],[Credit_Score]]&lt;650,"580-649",tbl_loans_clean[[#This Row],[Credit_Score]]&lt;700,"650-699",tbl_loans_clean[[#This Row],[Credit_Score]]&lt;750,"700-749",TRUE,"750+")</f>
        <v>750+</v>
      </c>
    </row>
    <row r="22" spans="1:15" x14ac:dyDescent="0.35">
      <c r="A22" t="s">
        <v>132</v>
      </c>
      <c r="B22" t="s">
        <v>28</v>
      </c>
      <c r="C22" t="s">
        <v>34</v>
      </c>
      <c r="D22" t="s">
        <v>32</v>
      </c>
      <c r="E22">
        <v>89754</v>
      </c>
      <c r="F22">
        <v>4.07</v>
      </c>
      <c r="G22">
        <v>120</v>
      </c>
      <c r="H22">
        <v>124907</v>
      </c>
      <c r="I22">
        <v>640</v>
      </c>
      <c r="J22" t="s">
        <v>26</v>
      </c>
      <c r="K22">
        <v>20.6</v>
      </c>
      <c r="L22">
        <v>18.600000000000001</v>
      </c>
      <c r="M22" t="s">
        <v>23</v>
      </c>
      <c r="N22" s="7">
        <v>44240</v>
      </c>
      <c r="O22" t="str" cm="1">
        <f t="array" ref="O22">_xlfn.IFS(tbl_loans_clean[[#This Row],[Credit_Score]]&lt;650,"580-649",tbl_loans_clean[[#This Row],[Credit_Score]]&lt;700,"650-699",tbl_loans_clean[[#This Row],[Credit_Score]]&lt;750,"700-749",TRUE,"750+")</f>
        <v>580-649</v>
      </c>
    </row>
    <row r="23" spans="1:15" x14ac:dyDescent="0.35">
      <c r="A23" t="s">
        <v>296</v>
      </c>
      <c r="B23" t="s">
        <v>15</v>
      </c>
      <c r="C23" t="s">
        <v>22</v>
      </c>
      <c r="D23" t="s">
        <v>17</v>
      </c>
      <c r="E23">
        <v>391328</v>
      </c>
      <c r="F23">
        <v>5.0199999999999996</v>
      </c>
      <c r="G23">
        <v>240</v>
      </c>
      <c r="H23">
        <v>119321</v>
      </c>
      <c r="I23">
        <v>708</v>
      </c>
      <c r="J23" t="s">
        <v>18</v>
      </c>
      <c r="K23">
        <v>22.9</v>
      </c>
      <c r="L23">
        <v>19.899999999999999</v>
      </c>
      <c r="M23" t="s">
        <v>23</v>
      </c>
      <c r="N23" s="7">
        <v>44241</v>
      </c>
      <c r="O23" t="str" cm="1">
        <f t="array" ref="O23">_xlfn.IFS(tbl_loans_clean[[#This Row],[Credit_Score]]&lt;650,"580-649",tbl_loans_clean[[#This Row],[Credit_Score]]&lt;700,"650-699",tbl_loans_clean[[#This Row],[Credit_Score]]&lt;750,"700-749",TRUE,"750+")</f>
        <v>700-749</v>
      </c>
    </row>
    <row r="24" spans="1:15" x14ac:dyDescent="0.35">
      <c r="A24" t="s">
        <v>58</v>
      </c>
      <c r="B24" t="s">
        <v>30</v>
      </c>
      <c r="C24" t="s">
        <v>22</v>
      </c>
      <c r="D24" t="s">
        <v>17</v>
      </c>
      <c r="E24">
        <v>536885</v>
      </c>
      <c r="F24">
        <v>8.9</v>
      </c>
      <c r="G24">
        <v>36</v>
      </c>
      <c r="H24">
        <v>185753</v>
      </c>
      <c r="I24">
        <v>839</v>
      </c>
      <c r="J24" t="s">
        <v>26</v>
      </c>
      <c r="K24">
        <v>13.7</v>
      </c>
      <c r="L24">
        <v>11</v>
      </c>
      <c r="M24" t="s">
        <v>55</v>
      </c>
      <c r="N24" s="7">
        <v>44242</v>
      </c>
      <c r="O24" t="str" cm="1">
        <f t="array" ref="O24">_xlfn.IFS(tbl_loans_clean[[#This Row],[Credit_Score]]&lt;650,"580-649",tbl_loans_clean[[#This Row],[Credit_Score]]&lt;700,"650-699",tbl_loans_clean[[#This Row],[Credit_Score]]&lt;750,"700-749",TRUE,"750+")</f>
        <v>750+</v>
      </c>
    </row>
    <row r="25" spans="1:15" x14ac:dyDescent="0.35">
      <c r="A25" t="s">
        <v>336</v>
      </c>
      <c r="B25" t="s">
        <v>30</v>
      </c>
      <c r="C25" t="s">
        <v>22</v>
      </c>
      <c r="D25" t="s">
        <v>32</v>
      </c>
      <c r="E25">
        <v>618369</v>
      </c>
      <c r="F25">
        <v>5.51</v>
      </c>
      <c r="G25">
        <v>12</v>
      </c>
      <c r="H25">
        <v>134438</v>
      </c>
      <c r="I25">
        <v>833</v>
      </c>
      <c r="J25" t="s">
        <v>26</v>
      </c>
      <c r="K25">
        <v>14</v>
      </c>
      <c r="L25">
        <v>26.2</v>
      </c>
      <c r="M25" t="s">
        <v>23</v>
      </c>
      <c r="N25" s="7">
        <v>44242</v>
      </c>
      <c r="O25" t="str" cm="1">
        <f t="array" ref="O25">_xlfn.IFS(tbl_loans_clean[[#This Row],[Credit_Score]]&lt;650,"580-649",tbl_loans_clean[[#This Row],[Credit_Score]]&lt;700,"650-699",tbl_loans_clean[[#This Row],[Credit_Score]]&lt;750,"700-749",TRUE,"750+")</f>
        <v>750+</v>
      </c>
    </row>
    <row r="26" spans="1:15" x14ac:dyDescent="0.35">
      <c r="A26" t="s">
        <v>812</v>
      </c>
      <c r="B26" t="s">
        <v>30</v>
      </c>
      <c r="C26" t="s">
        <v>16</v>
      </c>
      <c r="D26" t="s">
        <v>45</v>
      </c>
      <c r="E26">
        <v>440928</v>
      </c>
      <c r="F26">
        <v>10.68</v>
      </c>
      <c r="G26">
        <v>12</v>
      </c>
      <c r="H26">
        <v>55388</v>
      </c>
      <c r="I26">
        <v>653</v>
      </c>
      <c r="J26" t="s">
        <v>18</v>
      </c>
      <c r="K26">
        <v>24</v>
      </c>
      <c r="L26">
        <v>24.5</v>
      </c>
      <c r="M26" t="s">
        <v>23</v>
      </c>
      <c r="N26" s="7">
        <v>44243</v>
      </c>
      <c r="O26" t="str" cm="1">
        <f t="array" ref="O26">_xlfn.IFS(tbl_loans_clean[[#This Row],[Credit_Score]]&lt;650,"580-649",tbl_loans_clean[[#This Row],[Credit_Score]]&lt;700,"650-699",tbl_loans_clean[[#This Row],[Credit_Score]]&lt;750,"700-749",TRUE,"750+")</f>
        <v>650-699</v>
      </c>
    </row>
    <row r="27" spans="1:15" x14ac:dyDescent="0.35">
      <c r="A27" t="s">
        <v>560</v>
      </c>
      <c r="B27" t="s">
        <v>110</v>
      </c>
      <c r="C27" t="s">
        <v>22</v>
      </c>
      <c r="D27" t="s">
        <v>17</v>
      </c>
      <c r="E27">
        <v>737081</v>
      </c>
      <c r="F27">
        <v>9.7899999999999991</v>
      </c>
      <c r="G27">
        <v>48</v>
      </c>
      <c r="H27">
        <v>113473</v>
      </c>
      <c r="I27">
        <v>682</v>
      </c>
      <c r="J27" t="s">
        <v>26</v>
      </c>
      <c r="K27">
        <v>2.8</v>
      </c>
      <c r="L27">
        <v>22.7</v>
      </c>
      <c r="M27" t="s">
        <v>23</v>
      </c>
      <c r="N27" s="7">
        <v>44247</v>
      </c>
      <c r="O27" t="str" cm="1">
        <f t="array" ref="O27">_xlfn.IFS(tbl_loans_clean[[#This Row],[Credit_Score]]&lt;650,"580-649",tbl_loans_clean[[#This Row],[Credit_Score]]&lt;700,"650-699",tbl_loans_clean[[#This Row],[Credit_Score]]&lt;750,"700-749",TRUE,"750+")</f>
        <v>650-699</v>
      </c>
    </row>
    <row r="28" spans="1:15" x14ac:dyDescent="0.35">
      <c r="A28" t="s">
        <v>230</v>
      </c>
      <c r="B28" t="s">
        <v>30</v>
      </c>
      <c r="C28" t="s">
        <v>34</v>
      </c>
      <c r="D28" t="s">
        <v>32</v>
      </c>
      <c r="E28">
        <v>333768</v>
      </c>
      <c r="F28">
        <v>10.54</v>
      </c>
      <c r="G28">
        <v>300</v>
      </c>
      <c r="H28">
        <v>166426</v>
      </c>
      <c r="I28">
        <v>592</v>
      </c>
      <c r="J28" t="s">
        <v>26</v>
      </c>
      <c r="K28">
        <v>0.5</v>
      </c>
      <c r="L28">
        <v>44.2</v>
      </c>
      <c r="M28" t="s">
        <v>23</v>
      </c>
      <c r="N28" s="7">
        <v>44248</v>
      </c>
      <c r="O28" t="str" cm="1">
        <f t="array" ref="O28">_xlfn.IFS(tbl_loans_clean[[#This Row],[Credit_Score]]&lt;650,"580-649",tbl_loans_clean[[#This Row],[Credit_Score]]&lt;700,"650-699",tbl_loans_clean[[#This Row],[Credit_Score]]&lt;750,"700-749",TRUE,"750+")</f>
        <v>580-649</v>
      </c>
    </row>
    <row r="29" spans="1:15" x14ac:dyDescent="0.35">
      <c r="A29" t="s">
        <v>65</v>
      </c>
      <c r="B29" t="s">
        <v>28</v>
      </c>
      <c r="C29" t="s">
        <v>16</v>
      </c>
      <c r="D29" t="s">
        <v>17</v>
      </c>
      <c r="E29">
        <v>477890</v>
      </c>
      <c r="F29">
        <v>4.6900000000000004</v>
      </c>
      <c r="G29">
        <v>24</v>
      </c>
      <c r="H29">
        <v>97639</v>
      </c>
      <c r="I29">
        <v>685</v>
      </c>
      <c r="J29" t="s">
        <v>26</v>
      </c>
      <c r="K29">
        <v>20.7</v>
      </c>
      <c r="L29">
        <v>21.4</v>
      </c>
      <c r="M29" t="s">
        <v>23</v>
      </c>
      <c r="N29" s="7">
        <v>44251</v>
      </c>
      <c r="O29" t="str" cm="1">
        <f t="array" ref="O29">_xlfn.IFS(tbl_loans_clean[[#This Row],[Credit_Score]]&lt;650,"580-649",tbl_loans_clean[[#This Row],[Credit_Score]]&lt;700,"650-699",tbl_loans_clean[[#This Row],[Credit_Score]]&lt;750,"700-749",TRUE,"750+")</f>
        <v>650-699</v>
      </c>
    </row>
    <row r="30" spans="1:15" x14ac:dyDescent="0.35">
      <c r="A30" t="s">
        <v>568</v>
      </c>
      <c r="B30" t="s">
        <v>15</v>
      </c>
      <c r="C30" t="s">
        <v>22</v>
      </c>
      <c r="D30" t="s">
        <v>45</v>
      </c>
      <c r="E30">
        <v>294220</v>
      </c>
      <c r="F30">
        <v>13.15</v>
      </c>
      <c r="G30">
        <v>60</v>
      </c>
      <c r="H30">
        <v>166421</v>
      </c>
      <c r="I30">
        <v>650</v>
      </c>
      <c r="J30" t="s">
        <v>18</v>
      </c>
      <c r="K30">
        <v>24.7</v>
      </c>
      <c r="L30">
        <v>44.7</v>
      </c>
      <c r="M30" t="s">
        <v>19</v>
      </c>
      <c r="N30" s="7">
        <v>44253</v>
      </c>
      <c r="O30" t="str" cm="1">
        <f t="array" ref="O30">_xlfn.IFS(tbl_loans_clean[[#This Row],[Credit_Score]]&lt;650,"580-649",tbl_loans_clean[[#This Row],[Credit_Score]]&lt;700,"650-699",tbl_loans_clean[[#This Row],[Credit_Score]]&lt;750,"700-749",TRUE,"750+")</f>
        <v>650-699</v>
      </c>
    </row>
    <row r="31" spans="1:15" x14ac:dyDescent="0.35">
      <c r="A31" t="s">
        <v>254</v>
      </c>
      <c r="B31" t="s">
        <v>30</v>
      </c>
      <c r="C31" t="s">
        <v>22</v>
      </c>
      <c r="D31" t="s">
        <v>17</v>
      </c>
      <c r="E31">
        <v>399597</v>
      </c>
      <c r="F31">
        <v>10.94</v>
      </c>
      <c r="G31">
        <v>300</v>
      </c>
      <c r="H31">
        <v>202462</v>
      </c>
      <c r="I31">
        <v>731</v>
      </c>
      <c r="J31" t="s">
        <v>26</v>
      </c>
      <c r="K31">
        <v>1.4</v>
      </c>
      <c r="L31">
        <v>11.2</v>
      </c>
      <c r="M31" t="s">
        <v>23</v>
      </c>
      <c r="N31" s="7">
        <v>44254</v>
      </c>
      <c r="O31" t="str" cm="1">
        <f t="array" ref="O31">_xlfn.IFS(tbl_loans_clean[[#This Row],[Credit_Score]]&lt;650,"580-649",tbl_loans_clean[[#This Row],[Credit_Score]]&lt;700,"650-699",tbl_loans_clean[[#This Row],[Credit_Score]]&lt;750,"700-749",TRUE,"750+")</f>
        <v>700-749</v>
      </c>
    </row>
    <row r="32" spans="1:15" x14ac:dyDescent="0.35">
      <c r="A32" t="s">
        <v>124</v>
      </c>
      <c r="B32" t="s">
        <v>30</v>
      </c>
      <c r="C32" t="s">
        <v>22</v>
      </c>
      <c r="D32" t="s">
        <v>43</v>
      </c>
      <c r="E32">
        <v>149355</v>
      </c>
      <c r="F32">
        <v>6.19</v>
      </c>
      <c r="G32">
        <v>24</v>
      </c>
      <c r="H32">
        <v>111886</v>
      </c>
      <c r="I32">
        <v>689</v>
      </c>
      <c r="J32" t="s">
        <v>18</v>
      </c>
      <c r="K32">
        <v>18.600000000000001</v>
      </c>
      <c r="L32">
        <v>37.5</v>
      </c>
      <c r="M32" t="s">
        <v>23</v>
      </c>
      <c r="N32" s="7">
        <v>44256</v>
      </c>
      <c r="O32" t="str" cm="1">
        <f t="array" ref="O32">_xlfn.IFS(tbl_loans_clean[[#This Row],[Credit_Score]]&lt;650,"580-649",tbl_loans_clean[[#This Row],[Credit_Score]]&lt;700,"650-699",tbl_loans_clean[[#This Row],[Credit_Score]]&lt;750,"700-749",TRUE,"750+")</f>
        <v>650-699</v>
      </c>
    </row>
    <row r="33" spans="1:15" x14ac:dyDescent="0.35">
      <c r="A33" t="s">
        <v>536</v>
      </c>
      <c r="B33" t="s">
        <v>15</v>
      </c>
      <c r="C33" t="s">
        <v>34</v>
      </c>
      <c r="D33" t="s">
        <v>17</v>
      </c>
      <c r="E33">
        <v>749748</v>
      </c>
      <c r="F33">
        <v>6.31</v>
      </c>
      <c r="G33">
        <v>60</v>
      </c>
      <c r="H33">
        <v>89497</v>
      </c>
      <c r="I33">
        <v>605</v>
      </c>
      <c r="J33" t="s">
        <v>18</v>
      </c>
      <c r="K33">
        <v>17</v>
      </c>
      <c r="L33">
        <v>39.200000000000003</v>
      </c>
      <c r="M33" t="s">
        <v>55</v>
      </c>
      <c r="N33" s="7">
        <v>44257</v>
      </c>
      <c r="O33" t="str" cm="1">
        <f t="array" ref="O33">_xlfn.IFS(tbl_loans_clean[[#This Row],[Credit_Score]]&lt;650,"580-649",tbl_loans_clean[[#This Row],[Credit_Score]]&lt;700,"650-699",tbl_loans_clean[[#This Row],[Credit_Score]]&lt;750,"700-749",TRUE,"750+")</f>
        <v>580-649</v>
      </c>
    </row>
    <row r="34" spans="1:15" x14ac:dyDescent="0.35">
      <c r="A34" t="s">
        <v>701</v>
      </c>
      <c r="B34" t="s">
        <v>15</v>
      </c>
      <c r="C34" t="s">
        <v>16</v>
      </c>
      <c r="D34" t="s">
        <v>32</v>
      </c>
      <c r="E34">
        <v>104003</v>
      </c>
      <c r="F34">
        <v>6.17</v>
      </c>
      <c r="G34">
        <v>24</v>
      </c>
      <c r="H34">
        <v>187422</v>
      </c>
      <c r="I34">
        <v>735</v>
      </c>
      <c r="J34" t="s">
        <v>18</v>
      </c>
      <c r="K34">
        <v>24.4</v>
      </c>
      <c r="L34">
        <v>22.7</v>
      </c>
      <c r="M34" t="s">
        <v>19</v>
      </c>
      <c r="N34" s="7">
        <v>44258</v>
      </c>
      <c r="O34" t="str" cm="1">
        <f t="array" ref="O34">_xlfn.IFS(tbl_loans_clean[[#This Row],[Credit_Score]]&lt;650,"580-649",tbl_loans_clean[[#This Row],[Credit_Score]]&lt;700,"650-699",tbl_loans_clean[[#This Row],[Credit_Score]]&lt;750,"700-749",TRUE,"750+")</f>
        <v>700-749</v>
      </c>
    </row>
    <row r="35" spans="1:15" x14ac:dyDescent="0.35">
      <c r="A35" t="s">
        <v>779</v>
      </c>
      <c r="B35" t="s">
        <v>25</v>
      </c>
      <c r="C35" t="s">
        <v>16</v>
      </c>
      <c r="D35" t="s">
        <v>17</v>
      </c>
      <c r="E35">
        <v>559394</v>
      </c>
      <c r="F35">
        <v>12.78</v>
      </c>
      <c r="G35">
        <v>240</v>
      </c>
      <c r="H35">
        <v>66737</v>
      </c>
      <c r="I35">
        <v>651</v>
      </c>
      <c r="J35" t="s">
        <v>18</v>
      </c>
      <c r="K35">
        <v>0.8</v>
      </c>
      <c r="L35">
        <v>31.3</v>
      </c>
      <c r="M35" t="s">
        <v>19</v>
      </c>
      <c r="N35" s="7">
        <v>44261</v>
      </c>
      <c r="O35" t="str" cm="1">
        <f t="array" ref="O35">_xlfn.IFS(tbl_loans_clean[[#This Row],[Credit_Score]]&lt;650,"580-649",tbl_loans_clean[[#This Row],[Credit_Score]]&lt;700,"650-699",tbl_loans_clean[[#This Row],[Credit_Score]]&lt;750,"700-749",TRUE,"750+")</f>
        <v>650-699</v>
      </c>
    </row>
    <row r="36" spans="1:15" x14ac:dyDescent="0.35">
      <c r="A36" t="s">
        <v>720</v>
      </c>
      <c r="B36" t="s">
        <v>21</v>
      </c>
      <c r="C36" t="s">
        <v>16</v>
      </c>
      <c r="D36" t="s">
        <v>45</v>
      </c>
      <c r="E36">
        <v>218606</v>
      </c>
      <c r="F36">
        <v>11.79</v>
      </c>
      <c r="G36">
        <v>240</v>
      </c>
      <c r="H36">
        <v>135803</v>
      </c>
      <c r="I36">
        <v>763</v>
      </c>
      <c r="J36" t="s">
        <v>18</v>
      </c>
      <c r="K36">
        <v>8</v>
      </c>
      <c r="L36">
        <v>29.1</v>
      </c>
      <c r="M36" t="s">
        <v>55</v>
      </c>
      <c r="N36" s="7">
        <v>44264</v>
      </c>
      <c r="O36" t="str" cm="1">
        <f t="array" ref="O36">_xlfn.IFS(tbl_loans_clean[[#This Row],[Credit_Score]]&lt;650,"580-649",tbl_loans_clean[[#This Row],[Credit_Score]]&lt;700,"650-699",tbl_loans_clean[[#This Row],[Credit_Score]]&lt;750,"700-749",TRUE,"750+")</f>
        <v>750+</v>
      </c>
    </row>
    <row r="37" spans="1:15" x14ac:dyDescent="0.35">
      <c r="A37" t="s">
        <v>287</v>
      </c>
      <c r="B37" t="s">
        <v>15</v>
      </c>
      <c r="C37" t="s">
        <v>22</v>
      </c>
      <c r="D37" t="s">
        <v>17</v>
      </c>
      <c r="E37">
        <v>28782</v>
      </c>
      <c r="F37">
        <v>5.23</v>
      </c>
      <c r="G37">
        <v>36</v>
      </c>
      <c r="H37">
        <v>33606</v>
      </c>
      <c r="I37">
        <v>710</v>
      </c>
      <c r="J37" t="s">
        <v>35</v>
      </c>
      <c r="K37">
        <v>5.5</v>
      </c>
      <c r="L37">
        <v>22.6</v>
      </c>
      <c r="M37" t="s">
        <v>23</v>
      </c>
      <c r="N37" s="7">
        <v>44266</v>
      </c>
      <c r="O37" t="str" cm="1">
        <f t="array" ref="O37">_xlfn.IFS(tbl_loans_clean[[#This Row],[Credit_Score]]&lt;650,"580-649",tbl_loans_clean[[#This Row],[Credit_Score]]&lt;700,"650-699",tbl_loans_clean[[#This Row],[Credit_Score]]&lt;750,"700-749",TRUE,"750+")</f>
        <v>700-749</v>
      </c>
    </row>
    <row r="38" spans="1:15" x14ac:dyDescent="0.35">
      <c r="A38" t="s">
        <v>404</v>
      </c>
      <c r="B38" t="s">
        <v>15</v>
      </c>
      <c r="C38" t="s">
        <v>22</v>
      </c>
      <c r="D38" t="s">
        <v>43</v>
      </c>
      <c r="E38">
        <v>685332</v>
      </c>
      <c r="F38">
        <v>4.79</v>
      </c>
      <c r="G38">
        <v>48</v>
      </c>
      <c r="H38">
        <v>160151</v>
      </c>
      <c r="I38">
        <v>709</v>
      </c>
      <c r="J38" t="s">
        <v>18</v>
      </c>
      <c r="K38">
        <v>2.5</v>
      </c>
      <c r="L38">
        <v>27.4</v>
      </c>
      <c r="M38" t="s">
        <v>23</v>
      </c>
      <c r="N38" s="7">
        <v>44274</v>
      </c>
      <c r="O38" t="str" cm="1">
        <f t="array" ref="O38">_xlfn.IFS(tbl_loans_clean[[#This Row],[Credit_Score]]&lt;650,"580-649",tbl_loans_clean[[#This Row],[Credit_Score]]&lt;700,"650-699",tbl_loans_clean[[#This Row],[Credit_Score]]&lt;750,"700-749",TRUE,"750+")</f>
        <v>700-749</v>
      </c>
    </row>
    <row r="39" spans="1:15" x14ac:dyDescent="0.35">
      <c r="A39" t="s">
        <v>611</v>
      </c>
      <c r="B39" t="s">
        <v>30</v>
      </c>
      <c r="C39" t="s">
        <v>22</v>
      </c>
      <c r="D39" t="s">
        <v>17</v>
      </c>
      <c r="E39">
        <v>406415</v>
      </c>
      <c r="F39">
        <v>4.67</v>
      </c>
      <c r="G39">
        <v>240</v>
      </c>
      <c r="H39">
        <v>162404</v>
      </c>
      <c r="I39">
        <v>628</v>
      </c>
      <c r="J39" t="s">
        <v>39</v>
      </c>
      <c r="K39">
        <v>13</v>
      </c>
      <c r="L39">
        <v>30.6</v>
      </c>
      <c r="M39" t="s">
        <v>23</v>
      </c>
      <c r="N39" s="7">
        <v>44277</v>
      </c>
      <c r="O39" t="str" cm="1">
        <f t="array" ref="O39">_xlfn.IFS(tbl_loans_clean[[#This Row],[Credit_Score]]&lt;650,"580-649",tbl_loans_clean[[#This Row],[Credit_Score]]&lt;700,"650-699",tbl_loans_clean[[#This Row],[Credit_Score]]&lt;750,"700-749",TRUE,"750+")</f>
        <v>580-649</v>
      </c>
    </row>
    <row r="40" spans="1:15" x14ac:dyDescent="0.35">
      <c r="A40" t="s">
        <v>465</v>
      </c>
      <c r="B40" t="s">
        <v>15</v>
      </c>
      <c r="C40" t="s">
        <v>34</v>
      </c>
      <c r="D40" t="s">
        <v>17</v>
      </c>
      <c r="E40">
        <v>443080</v>
      </c>
      <c r="F40">
        <v>10.74</v>
      </c>
      <c r="G40">
        <v>240</v>
      </c>
      <c r="H40">
        <v>80349</v>
      </c>
      <c r="I40">
        <v>597</v>
      </c>
      <c r="J40" t="s">
        <v>18</v>
      </c>
      <c r="K40">
        <v>21.5</v>
      </c>
      <c r="L40">
        <v>27.9</v>
      </c>
      <c r="M40" t="s">
        <v>19</v>
      </c>
      <c r="N40" s="7">
        <v>44280</v>
      </c>
      <c r="O40" t="str" cm="1">
        <f t="array" ref="O40">_xlfn.IFS(tbl_loans_clean[[#This Row],[Credit_Score]]&lt;650,"580-649",tbl_loans_clean[[#This Row],[Credit_Score]]&lt;700,"650-699",tbl_loans_clean[[#This Row],[Credit_Score]]&lt;750,"700-749",TRUE,"750+")</f>
        <v>580-649</v>
      </c>
    </row>
    <row r="41" spans="1:15" x14ac:dyDescent="0.35">
      <c r="A41" t="s">
        <v>119</v>
      </c>
      <c r="B41" t="s">
        <v>30</v>
      </c>
      <c r="C41" t="s">
        <v>22</v>
      </c>
      <c r="D41" t="s">
        <v>17</v>
      </c>
      <c r="E41">
        <v>161951</v>
      </c>
      <c r="F41">
        <v>11.54</v>
      </c>
      <c r="G41">
        <v>240</v>
      </c>
      <c r="H41">
        <v>163909</v>
      </c>
      <c r="I41">
        <v>737</v>
      </c>
      <c r="J41" t="s">
        <v>18</v>
      </c>
      <c r="K41">
        <v>0.9</v>
      </c>
      <c r="L41">
        <v>19.3</v>
      </c>
      <c r="M41" t="s">
        <v>55</v>
      </c>
      <c r="N41" s="7">
        <v>44282</v>
      </c>
      <c r="O41" t="str" cm="1">
        <f t="array" ref="O41">_xlfn.IFS(tbl_loans_clean[[#This Row],[Credit_Score]]&lt;650,"580-649",tbl_loans_clean[[#This Row],[Credit_Score]]&lt;700,"650-699",tbl_loans_clean[[#This Row],[Credit_Score]]&lt;750,"700-749",TRUE,"750+")</f>
        <v>700-749</v>
      </c>
    </row>
    <row r="42" spans="1:15" x14ac:dyDescent="0.35">
      <c r="A42" t="s">
        <v>264</v>
      </c>
      <c r="B42" t="s">
        <v>15</v>
      </c>
      <c r="C42" t="s">
        <v>34</v>
      </c>
      <c r="D42" t="s">
        <v>38</v>
      </c>
      <c r="E42">
        <v>501762</v>
      </c>
      <c r="F42">
        <v>12.12</v>
      </c>
      <c r="G42">
        <v>24</v>
      </c>
      <c r="H42">
        <v>183666</v>
      </c>
      <c r="I42">
        <v>736</v>
      </c>
      <c r="J42" t="s">
        <v>18</v>
      </c>
      <c r="K42">
        <v>23.1</v>
      </c>
      <c r="L42">
        <v>43</v>
      </c>
      <c r="M42" t="s">
        <v>23</v>
      </c>
      <c r="N42" s="7">
        <v>44284</v>
      </c>
      <c r="O42" t="str" cm="1">
        <f t="array" ref="O42">_xlfn.IFS(tbl_loans_clean[[#This Row],[Credit_Score]]&lt;650,"580-649",tbl_loans_clean[[#This Row],[Credit_Score]]&lt;700,"650-699",tbl_loans_clean[[#This Row],[Credit_Score]]&lt;750,"700-749",TRUE,"750+")</f>
        <v>700-749</v>
      </c>
    </row>
    <row r="43" spans="1:15" x14ac:dyDescent="0.35">
      <c r="A43" t="s">
        <v>335</v>
      </c>
      <c r="B43" t="s">
        <v>15</v>
      </c>
      <c r="C43" t="s">
        <v>16</v>
      </c>
      <c r="D43" t="s">
        <v>17</v>
      </c>
      <c r="E43">
        <v>325752</v>
      </c>
      <c r="F43">
        <v>13.32</v>
      </c>
      <c r="G43">
        <v>36</v>
      </c>
      <c r="H43">
        <v>146542</v>
      </c>
      <c r="I43">
        <v>784</v>
      </c>
      <c r="J43" t="s">
        <v>26</v>
      </c>
      <c r="K43">
        <v>2.2000000000000002</v>
      </c>
      <c r="L43">
        <v>18.7</v>
      </c>
      <c r="M43" t="s">
        <v>23</v>
      </c>
      <c r="N43" s="7">
        <v>44284</v>
      </c>
      <c r="O43" t="str" cm="1">
        <f t="array" ref="O43">_xlfn.IFS(tbl_loans_clean[[#This Row],[Credit_Score]]&lt;650,"580-649",tbl_loans_clean[[#This Row],[Credit_Score]]&lt;700,"650-699",tbl_loans_clean[[#This Row],[Credit_Score]]&lt;750,"700-749",TRUE,"750+")</f>
        <v>750+</v>
      </c>
    </row>
    <row r="44" spans="1:15" x14ac:dyDescent="0.35">
      <c r="A44" t="s">
        <v>774</v>
      </c>
      <c r="B44" t="s">
        <v>28</v>
      </c>
      <c r="C44" t="s">
        <v>16</v>
      </c>
      <c r="D44" t="s">
        <v>45</v>
      </c>
      <c r="E44">
        <v>56001</v>
      </c>
      <c r="F44">
        <v>13.75</v>
      </c>
      <c r="G44">
        <v>48</v>
      </c>
      <c r="H44">
        <v>58480</v>
      </c>
      <c r="I44">
        <v>606</v>
      </c>
      <c r="J44" t="s">
        <v>18</v>
      </c>
      <c r="K44">
        <v>21.1</v>
      </c>
      <c r="L44">
        <v>45.8</v>
      </c>
      <c r="M44" t="s">
        <v>23</v>
      </c>
      <c r="N44" s="7">
        <v>44289</v>
      </c>
      <c r="O44" t="str" cm="1">
        <f t="array" ref="O44">_xlfn.IFS(tbl_loans_clean[[#This Row],[Credit_Score]]&lt;650,"580-649",tbl_loans_clean[[#This Row],[Credit_Score]]&lt;700,"650-699",tbl_loans_clean[[#This Row],[Credit_Score]]&lt;750,"700-749",TRUE,"750+")</f>
        <v>580-649</v>
      </c>
    </row>
    <row r="45" spans="1:15" x14ac:dyDescent="0.35">
      <c r="A45" t="s">
        <v>419</v>
      </c>
      <c r="B45" t="s">
        <v>30</v>
      </c>
      <c r="C45" t="s">
        <v>22</v>
      </c>
      <c r="D45" t="s">
        <v>32</v>
      </c>
      <c r="E45">
        <v>506590</v>
      </c>
      <c r="F45">
        <v>4.97</v>
      </c>
      <c r="G45">
        <v>120</v>
      </c>
      <c r="H45">
        <v>107823</v>
      </c>
      <c r="I45">
        <v>691</v>
      </c>
      <c r="J45" t="s">
        <v>18</v>
      </c>
      <c r="K45">
        <v>17.5</v>
      </c>
      <c r="L45">
        <v>34.6</v>
      </c>
      <c r="M45" t="s">
        <v>19</v>
      </c>
      <c r="N45" s="7">
        <v>44291</v>
      </c>
      <c r="O45" t="str" cm="1">
        <f t="array" ref="O45">_xlfn.IFS(tbl_loans_clean[[#This Row],[Credit_Score]]&lt;650,"580-649",tbl_loans_clean[[#This Row],[Credit_Score]]&lt;700,"650-699",tbl_loans_clean[[#This Row],[Credit_Score]]&lt;750,"700-749",TRUE,"750+")</f>
        <v>650-699</v>
      </c>
    </row>
    <row r="46" spans="1:15" x14ac:dyDescent="0.35">
      <c r="A46" t="s">
        <v>427</v>
      </c>
      <c r="B46" t="s">
        <v>25</v>
      </c>
      <c r="C46" t="s">
        <v>34</v>
      </c>
      <c r="D46" t="s">
        <v>17</v>
      </c>
      <c r="E46">
        <v>159626</v>
      </c>
      <c r="F46">
        <v>8</v>
      </c>
      <c r="G46">
        <v>36</v>
      </c>
      <c r="H46">
        <v>184497</v>
      </c>
      <c r="I46">
        <v>746</v>
      </c>
      <c r="J46" t="s">
        <v>18</v>
      </c>
      <c r="K46">
        <v>14.7</v>
      </c>
      <c r="L46">
        <v>17.100000000000001</v>
      </c>
      <c r="M46" t="s">
        <v>19</v>
      </c>
      <c r="N46" s="7">
        <v>44291</v>
      </c>
      <c r="O46" t="str" cm="1">
        <f t="array" ref="O46">_xlfn.IFS(tbl_loans_clean[[#This Row],[Credit_Score]]&lt;650,"580-649",tbl_loans_clean[[#This Row],[Credit_Score]]&lt;700,"650-699",tbl_loans_clean[[#This Row],[Credit_Score]]&lt;750,"700-749",TRUE,"750+")</f>
        <v>700-749</v>
      </c>
    </row>
    <row r="47" spans="1:15" x14ac:dyDescent="0.35">
      <c r="A47" t="s">
        <v>374</v>
      </c>
      <c r="B47" t="s">
        <v>30</v>
      </c>
      <c r="C47" t="s">
        <v>22</v>
      </c>
      <c r="D47" t="s">
        <v>45</v>
      </c>
      <c r="E47">
        <v>516511</v>
      </c>
      <c r="F47">
        <v>7.44</v>
      </c>
      <c r="G47">
        <v>36</v>
      </c>
      <c r="H47">
        <v>119563</v>
      </c>
      <c r="I47">
        <v>672</v>
      </c>
      <c r="J47" t="s">
        <v>18</v>
      </c>
      <c r="K47">
        <v>16.7</v>
      </c>
      <c r="L47">
        <v>35.5</v>
      </c>
      <c r="M47" t="s">
        <v>23</v>
      </c>
      <c r="N47" s="7">
        <v>44293</v>
      </c>
      <c r="O47" t="str" cm="1">
        <f t="array" ref="O47">_xlfn.IFS(tbl_loans_clean[[#This Row],[Credit_Score]]&lt;650,"580-649",tbl_loans_clean[[#This Row],[Credit_Score]]&lt;700,"650-699",tbl_loans_clean[[#This Row],[Credit_Score]]&lt;750,"700-749",TRUE,"750+")</f>
        <v>650-699</v>
      </c>
    </row>
    <row r="48" spans="1:15" x14ac:dyDescent="0.35">
      <c r="A48" t="s">
        <v>728</v>
      </c>
      <c r="B48" t="s">
        <v>15</v>
      </c>
      <c r="C48" t="s">
        <v>22</v>
      </c>
      <c r="D48" t="s">
        <v>52</v>
      </c>
      <c r="E48">
        <v>480406</v>
      </c>
      <c r="F48">
        <v>12.55</v>
      </c>
      <c r="G48">
        <v>48</v>
      </c>
      <c r="H48">
        <v>140660</v>
      </c>
      <c r="I48">
        <v>621</v>
      </c>
      <c r="J48" t="s">
        <v>26</v>
      </c>
      <c r="K48">
        <v>12.4</v>
      </c>
      <c r="L48">
        <v>34.6</v>
      </c>
      <c r="M48" t="s">
        <v>23</v>
      </c>
      <c r="N48" s="7">
        <v>44293</v>
      </c>
      <c r="O48" t="str" cm="1">
        <f t="array" ref="O48">_xlfn.IFS(tbl_loans_clean[[#This Row],[Credit_Score]]&lt;650,"580-649",tbl_loans_clean[[#This Row],[Credit_Score]]&lt;700,"650-699",tbl_loans_clean[[#This Row],[Credit_Score]]&lt;750,"700-749",TRUE,"750+")</f>
        <v>580-649</v>
      </c>
    </row>
    <row r="49" spans="1:15" x14ac:dyDescent="0.35">
      <c r="A49" t="s">
        <v>681</v>
      </c>
      <c r="B49" t="s">
        <v>15</v>
      </c>
      <c r="C49" t="s">
        <v>16</v>
      </c>
      <c r="D49" t="s">
        <v>17</v>
      </c>
      <c r="E49">
        <v>484336</v>
      </c>
      <c r="F49">
        <v>5.27</v>
      </c>
      <c r="G49">
        <v>120</v>
      </c>
      <c r="H49">
        <v>79415</v>
      </c>
      <c r="I49">
        <v>642</v>
      </c>
      <c r="J49" t="s">
        <v>26</v>
      </c>
      <c r="K49">
        <v>22.5</v>
      </c>
      <c r="L49">
        <v>43.2</v>
      </c>
      <c r="M49" t="s">
        <v>23</v>
      </c>
      <c r="N49" s="7">
        <v>44295</v>
      </c>
      <c r="O49" t="str" cm="1">
        <f t="array" ref="O49">_xlfn.IFS(tbl_loans_clean[[#This Row],[Credit_Score]]&lt;650,"580-649",tbl_loans_clean[[#This Row],[Credit_Score]]&lt;700,"650-699",tbl_loans_clean[[#This Row],[Credit_Score]]&lt;750,"700-749",TRUE,"750+")</f>
        <v>580-649</v>
      </c>
    </row>
    <row r="50" spans="1:15" x14ac:dyDescent="0.35">
      <c r="A50" t="s">
        <v>86</v>
      </c>
      <c r="B50" t="s">
        <v>30</v>
      </c>
      <c r="C50" t="s">
        <v>22</v>
      </c>
      <c r="D50" t="s">
        <v>17</v>
      </c>
      <c r="E50">
        <v>338299</v>
      </c>
      <c r="F50">
        <v>6.67</v>
      </c>
      <c r="G50">
        <v>60</v>
      </c>
      <c r="H50">
        <v>176955</v>
      </c>
      <c r="I50">
        <v>829</v>
      </c>
      <c r="J50" t="s">
        <v>18</v>
      </c>
      <c r="K50">
        <v>18.100000000000001</v>
      </c>
      <c r="L50">
        <v>17.5</v>
      </c>
      <c r="M50" t="s">
        <v>23</v>
      </c>
      <c r="N50" s="7">
        <v>44297</v>
      </c>
      <c r="O50" t="str" cm="1">
        <f t="array" ref="O50">_xlfn.IFS(tbl_loans_clean[[#This Row],[Credit_Score]]&lt;650,"580-649",tbl_loans_clean[[#This Row],[Credit_Score]]&lt;700,"650-699",tbl_loans_clean[[#This Row],[Credit_Score]]&lt;750,"700-749",TRUE,"750+")</f>
        <v>750+</v>
      </c>
    </row>
    <row r="51" spans="1:15" x14ac:dyDescent="0.35">
      <c r="A51" t="s">
        <v>109</v>
      </c>
      <c r="B51" t="s">
        <v>110</v>
      </c>
      <c r="C51" t="s">
        <v>34</v>
      </c>
      <c r="D51" t="s">
        <v>38</v>
      </c>
      <c r="E51">
        <v>529628</v>
      </c>
      <c r="F51">
        <v>6.32</v>
      </c>
      <c r="G51">
        <v>300</v>
      </c>
      <c r="H51">
        <v>214806</v>
      </c>
      <c r="I51">
        <v>764</v>
      </c>
      <c r="J51" t="s">
        <v>18</v>
      </c>
      <c r="K51">
        <v>12.7</v>
      </c>
      <c r="L51">
        <v>12.9</v>
      </c>
      <c r="M51" t="s">
        <v>19</v>
      </c>
      <c r="N51" s="7">
        <v>44298</v>
      </c>
      <c r="O51" t="str" cm="1">
        <f t="array" ref="O51">_xlfn.IFS(tbl_loans_clean[[#This Row],[Credit_Score]]&lt;650,"580-649",tbl_loans_clean[[#This Row],[Credit_Score]]&lt;700,"650-699",tbl_loans_clean[[#This Row],[Credit_Score]]&lt;750,"700-749",TRUE,"750+")</f>
        <v>750+</v>
      </c>
    </row>
    <row r="52" spans="1:15" x14ac:dyDescent="0.35">
      <c r="A52" t="s">
        <v>417</v>
      </c>
      <c r="B52" t="s">
        <v>30</v>
      </c>
      <c r="C52" t="s">
        <v>16</v>
      </c>
      <c r="D52" t="s">
        <v>73</v>
      </c>
      <c r="E52">
        <v>425963</v>
      </c>
      <c r="F52">
        <v>9.74</v>
      </c>
      <c r="G52">
        <v>12</v>
      </c>
      <c r="H52">
        <v>180545</v>
      </c>
      <c r="I52">
        <v>589</v>
      </c>
      <c r="J52" t="s">
        <v>18</v>
      </c>
      <c r="K52">
        <v>17.3</v>
      </c>
      <c r="L52">
        <v>20.399999999999999</v>
      </c>
      <c r="M52" t="s">
        <v>23</v>
      </c>
      <c r="N52" s="7">
        <v>44300</v>
      </c>
      <c r="O52" t="str" cm="1">
        <f t="array" ref="O52">_xlfn.IFS(tbl_loans_clean[[#This Row],[Credit_Score]]&lt;650,"580-649",tbl_loans_clean[[#This Row],[Credit_Score]]&lt;700,"650-699",tbl_loans_clean[[#This Row],[Credit_Score]]&lt;750,"700-749",TRUE,"750+")</f>
        <v>580-649</v>
      </c>
    </row>
    <row r="53" spans="1:15" x14ac:dyDescent="0.35">
      <c r="A53" t="s">
        <v>114</v>
      </c>
      <c r="B53" t="s">
        <v>25</v>
      </c>
      <c r="C53" t="s">
        <v>22</v>
      </c>
      <c r="D53" t="s">
        <v>38</v>
      </c>
      <c r="E53">
        <v>529426</v>
      </c>
      <c r="F53">
        <v>9.06</v>
      </c>
      <c r="G53">
        <v>48</v>
      </c>
      <c r="H53">
        <v>88197</v>
      </c>
      <c r="I53">
        <v>791</v>
      </c>
      <c r="J53" t="s">
        <v>18</v>
      </c>
      <c r="K53">
        <v>4.8</v>
      </c>
      <c r="L53">
        <v>27.3</v>
      </c>
      <c r="M53" t="s">
        <v>23</v>
      </c>
      <c r="N53" s="7">
        <v>44304</v>
      </c>
      <c r="O53" t="str" cm="1">
        <f t="array" ref="O53">_xlfn.IFS(tbl_loans_clean[[#This Row],[Credit_Score]]&lt;650,"580-649",tbl_loans_clean[[#This Row],[Credit_Score]]&lt;700,"650-699",tbl_loans_clean[[#This Row],[Credit_Score]]&lt;750,"700-749",TRUE,"750+")</f>
        <v>750+</v>
      </c>
    </row>
    <row r="54" spans="1:15" x14ac:dyDescent="0.35">
      <c r="A54" t="s">
        <v>557</v>
      </c>
      <c r="B54" t="s">
        <v>30</v>
      </c>
      <c r="C54" t="s">
        <v>16</v>
      </c>
      <c r="D54" t="s">
        <v>17</v>
      </c>
      <c r="E54">
        <v>707922</v>
      </c>
      <c r="F54">
        <v>9.67</v>
      </c>
      <c r="G54">
        <v>48</v>
      </c>
      <c r="H54">
        <v>89360</v>
      </c>
      <c r="I54">
        <v>678</v>
      </c>
      <c r="J54" t="s">
        <v>18</v>
      </c>
      <c r="K54">
        <v>5.8</v>
      </c>
      <c r="L54">
        <v>10.199999999999999</v>
      </c>
      <c r="M54" t="s">
        <v>19</v>
      </c>
      <c r="N54" s="7">
        <v>44306</v>
      </c>
      <c r="O54" t="str" cm="1">
        <f t="array" ref="O54">_xlfn.IFS(tbl_loans_clean[[#This Row],[Credit_Score]]&lt;650,"580-649",tbl_loans_clean[[#This Row],[Credit_Score]]&lt;700,"650-699",tbl_loans_clean[[#This Row],[Credit_Score]]&lt;750,"700-749",TRUE,"750+")</f>
        <v>650-699</v>
      </c>
    </row>
    <row r="55" spans="1:15" x14ac:dyDescent="0.35">
      <c r="A55" t="s">
        <v>573</v>
      </c>
      <c r="B55" t="s">
        <v>303</v>
      </c>
      <c r="C55" t="s">
        <v>16</v>
      </c>
      <c r="D55" t="s">
        <v>17</v>
      </c>
      <c r="E55">
        <v>572597</v>
      </c>
      <c r="F55">
        <v>13.21</v>
      </c>
      <c r="G55">
        <v>48</v>
      </c>
      <c r="H55">
        <v>65344</v>
      </c>
      <c r="I55">
        <v>835</v>
      </c>
      <c r="J55" t="s">
        <v>18</v>
      </c>
      <c r="K55">
        <v>7.9</v>
      </c>
      <c r="L55">
        <v>12.8</v>
      </c>
      <c r="M55" t="s">
        <v>55</v>
      </c>
      <c r="N55" s="7">
        <v>44308</v>
      </c>
      <c r="O55" t="str" cm="1">
        <f t="array" ref="O55">_xlfn.IFS(tbl_loans_clean[[#This Row],[Credit_Score]]&lt;650,"580-649",tbl_loans_clean[[#This Row],[Credit_Score]]&lt;700,"650-699",tbl_loans_clean[[#This Row],[Credit_Score]]&lt;750,"700-749",TRUE,"750+")</f>
        <v>750+</v>
      </c>
    </row>
    <row r="56" spans="1:15" x14ac:dyDescent="0.35">
      <c r="A56" t="s">
        <v>371</v>
      </c>
      <c r="B56" t="s">
        <v>30</v>
      </c>
      <c r="C56" t="s">
        <v>22</v>
      </c>
      <c r="D56" t="s">
        <v>17</v>
      </c>
      <c r="E56">
        <v>672540</v>
      </c>
      <c r="F56">
        <v>3.95</v>
      </c>
      <c r="G56">
        <v>12</v>
      </c>
      <c r="H56">
        <v>178952</v>
      </c>
      <c r="I56">
        <v>602</v>
      </c>
      <c r="J56" t="s">
        <v>18</v>
      </c>
      <c r="K56">
        <v>23.5</v>
      </c>
      <c r="L56">
        <v>15</v>
      </c>
      <c r="M56" t="s">
        <v>23</v>
      </c>
      <c r="N56" s="7">
        <v>44309</v>
      </c>
      <c r="O56" t="str" cm="1">
        <f t="array" ref="O56">_xlfn.IFS(tbl_loans_clean[[#This Row],[Credit_Score]]&lt;650,"580-649",tbl_loans_clean[[#This Row],[Credit_Score]]&lt;700,"650-699",tbl_loans_clean[[#This Row],[Credit_Score]]&lt;750,"700-749",TRUE,"750+")</f>
        <v>580-649</v>
      </c>
    </row>
    <row r="57" spans="1:15" x14ac:dyDescent="0.35">
      <c r="A57" t="s">
        <v>492</v>
      </c>
      <c r="B57" t="s">
        <v>25</v>
      </c>
      <c r="C57" t="s">
        <v>16</v>
      </c>
      <c r="D57" t="s">
        <v>32</v>
      </c>
      <c r="E57">
        <v>716028</v>
      </c>
      <c r="F57">
        <v>6.73</v>
      </c>
      <c r="G57">
        <v>300</v>
      </c>
      <c r="H57">
        <v>58341</v>
      </c>
      <c r="I57">
        <v>613</v>
      </c>
      <c r="J57" t="s">
        <v>18</v>
      </c>
      <c r="K57">
        <v>9.5</v>
      </c>
      <c r="L57">
        <v>13</v>
      </c>
      <c r="M57" t="s">
        <v>19</v>
      </c>
      <c r="N57" s="7">
        <v>44309</v>
      </c>
      <c r="O57" t="str" cm="1">
        <f t="array" ref="O57">_xlfn.IFS(tbl_loans_clean[[#This Row],[Credit_Score]]&lt;650,"580-649",tbl_loans_clean[[#This Row],[Credit_Score]]&lt;700,"650-699",tbl_loans_clean[[#This Row],[Credit_Score]]&lt;750,"700-749",TRUE,"750+")</f>
        <v>580-649</v>
      </c>
    </row>
    <row r="58" spans="1:15" x14ac:dyDescent="0.35">
      <c r="A58" t="s">
        <v>231</v>
      </c>
      <c r="B58" t="s">
        <v>30</v>
      </c>
      <c r="C58" t="s">
        <v>16</v>
      </c>
      <c r="D58" t="s">
        <v>17</v>
      </c>
      <c r="E58">
        <v>693152</v>
      </c>
      <c r="F58">
        <v>13.78</v>
      </c>
      <c r="G58">
        <v>60</v>
      </c>
      <c r="H58">
        <v>137598</v>
      </c>
      <c r="I58">
        <v>668</v>
      </c>
      <c r="J58" t="s">
        <v>18</v>
      </c>
      <c r="K58">
        <v>18.100000000000001</v>
      </c>
      <c r="L58">
        <v>12.8</v>
      </c>
      <c r="M58" t="s">
        <v>23</v>
      </c>
      <c r="N58" s="7">
        <v>44312</v>
      </c>
      <c r="O58" t="str" cm="1">
        <f t="array" ref="O58">_xlfn.IFS(tbl_loans_clean[[#This Row],[Credit_Score]]&lt;650,"580-649",tbl_loans_clean[[#This Row],[Credit_Score]]&lt;700,"650-699",tbl_loans_clean[[#This Row],[Credit_Score]]&lt;750,"700-749",TRUE,"750+")</f>
        <v>650-699</v>
      </c>
    </row>
    <row r="59" spans="1:15" x14ac:dyDescent="0.35">
      <c r="A59" t="s">
        <v>127</v>
      </c>
      <c r="B59" t="s">
        <v>28</v>
      </c>
      <c r="C59" t="s">
        <v>16</v>
      </c>
      <c r="D59" t="s">
        <v>73</v>
      </c>
      <c r="E59">
        <v>498671</v>
      </c>
      <c r="F59">
        <v>6.23</v>
      </c>
      <c r="G59">
        <v>48</v>
      </c>
      <c r="H59">
        <v>116422</v>
      </c>
      <c r="I59">
        <v>693</v>
      </c>
      <c r="J59" t="s">
        <v>18</v>
      </c>
      <c r="K59">
        <v>11.5</v>
      </c>
      <c r="L59">
        <v>34.799999999999997</v>
      </c>
      <c r="M59" t="s">
        <v>23</v>
      </c>
      <c r="N59" s="7">
        <v>44313</v>
      </c>
      <c r="O59" t="str" cm="1">
        <f t="array" ref="O59">_xlfn.IFS(tbl_loans_clean[[#This Row],[Credit_Score]]&lt;650,"580-649",tbl_loans_clean[[#This Row],[Credit_Score]]&lt;700,"650-699",tbl_loans_clean[[#This Row],[Credit_Score]]&lt;750,"700-749",TRUE,"750+")</f>
        <v>650-699</v>
      </c>
    </row>
    <row r="60" spans="1:15" x14ac:dyDescent="0.35">
      <c r="A60" t="s">
        <v>658</v>
      </c>
      <c r="B60" t="s">
        <v>30</v>
      </c>
      <c r="C60" t="s">
        <v>22</v>
      </c>
      <c r="D60" t="s">
        <v>43</v>
      </c>
      <c r="E60">
        <v>630043</v>
      </c>
      <c r="F60">
        <v>7.28</v>
      </c>
      <c r="G60">
        <v>300</v>
      </c>
      <c r="H60">
        <v>130892</v>
      </c>
      <c r="I60">
        <v>634</v>
      </c>
      <c r="J60" t="s">
        <v>18</v>
      </c>
      <c r="K60">
        <v>14.5</v>
      </c>
      <c r="L60">
        <v>42.8</v>
      </c>
      <c r="M60" t="s">
        <v>23</v>
      </c>
      <c r="N60" s="7">
        <v>44314</v>
      </c>
      <c r="O60" t="str" cm="1">
        <f t="array" ref="O60">_xlfn.IFS(tbl_loans_clean[[#This Row],[Credit_Score]]&lt;650,"580-649",tbl_loans_clean[[#This Row],[Credit_Score]]&lt;700,"650-699",tbl_loans_clean[[#This Row],[Credit_Score]]&lt;750,"700-749",TRUE,"750+")</f>
        <v>580-649</v>
      </c>
    </row>
    <row r="61" spans="1:15" x14ac:dyDescent="0.35">
      <c r="A61" t="s">
        <v>678</v>
      </c>
      <c r="B61" t="s">
        <v>15</v>
      </c>
      <c r="C61" t="s">
        <v>22</v>
      </c>
      <c r="D61" t="s">
        <v>73</v>
      </c>
      <c r="E61">
        <v>428177</v>
      </c>
      <c r="F61">
        <v>5.29</v>
      </c>
      <c r="G61">
        <v>24</v>
      </c>
      <c r="H61">
        <v>47773</v>
      </c>
      <c r="I61">
        <v>641</v>
      </c>
      <c r="J61" t="s">
        <v>26</v>
      </c>
      <c r="K61">
        <v>3.7</v>
      </c>
      <c r="L61">
        <v>20.2</v>
      </c>
      <c r="M61" t="s">
        <v>23</v>
      </c>
      <c r="N61" s="7">
        <v>44316</v>
      </c>
      <c r="O61" t="str" cm="1">
        <f t="array" ref="O61">_xlfn.IFS(tbl_loans_clean[[#This Row],[Credit_Score]]&lt;650,"580-649",tbl_loans_clean[[#This Row],[Credit_Score]]&lt;700,"650-699",tbl_loans_clean[[#This Row],[Credit_Score]]&lt;750,"700-749",TRUE,"750+")</f>
        <v>580-649</v>
      </c>
    </row>
    <row r="62" spans="1:15" x14ac:dyDescent="0.35">
      <c r="A62" t="s">
        <v>806</v>
      </c>
      <c r="B62" t="s">
        <v>30</v>
      </c>
      <c r="C62" t="s">
        <v>34</v>
      </c>
      <c r="D62" t="s">
        <v>45</v>
      </c>
      <c r="E62">
        <v>597656</v>
      </c>
      <c r="F62">
        <v>4.9000000000000004</v>
      </c>
      <c r="G62">
        <v>300</v>
      </c>
      <c r="H62">
        <v>201137</v>
      </c>
      <c r="I62">
        <v>719</v>
      </c>
      <c r="J62" t="s">
        <v>18</v>
      </c>
      <c r="K62">
        <v>6</v>
      </c>
      <c r="L62">
        <v>18.100000000000001</v>
      </c>
      <c r="M62" t="s">
        <v>48</v>
      </c>
      <c r="N62" s="7">
        <v>44316</v>
      </c>
      <c r="O62" t="str" cm="1">
        <f t="array" ref="O62">_xlfn.IFS(tbl_loans_clean[[#This Row],[Credit_Score]]&lt;650,"580-649",tbl_loans_clean[[#This Row],[Credit_Score]]&lt;700,"650-699",tbl_loans_clean[[#This Row],[Credit_Score]]&lt;750,"700-749",TRUE,"750+")</f>
        <v>700-749</v>
      </c>
    </row>
    <row r="63" spans="1:15" x14ac:dyDescent="0.35">
      <c r="A63" t="s">
        <v>146</v>
      </c>
      <c r="B63" t="s">
        <v>30</v>
      </c>
      <c r="C63" t="s">
        <v>34</v>
      </c>
      <c r="D63" t="s">
        <v>17</v>
      </c>
      <c r="E63">
        <v>49789</v>
      </c>
      <c r="F63">
        <v>10.09</v>
      </c>
      <c r="G63">
        <v>120</v>
      </c>
      <c r="H63">
        <v>149136</v>
      </c>
      <c r="I63">
        <v>785</v>
      </c>
      <c r="J63" t="s">
        <v>26</v>
      </c>
      <c r="K63">
        <v>11.5</v>
      </c>
      <c r="L63">
        <v>26.5</v>
      </c>
      <c r="M63" t="s">
        <v>55</v>
      </c>
      <c r="N63" s="7">
        <v>44317</v>
      </c>
      <c r="O63" t="str" cm="1">
        <f t="array" ref="O63">_xlfn.IFS(tbl_loans_clean[[#This Row],[Credit_Score]]&lt;650,"580-649",tbl_loans_clean[[#This Row],[Credit_Score]]&lt;700,"650-699",tbl_loans_clean[[#This Row],[Credit_Score]]&lt;750,"700-749",TRUE,"750+")</f>
        <v>750+</v>
      </c>
    </row>
    <row r="64" spans="1:15" x14ac:dyDescent="0.35">
      <c r="A64" t="s">
        <v>327</v>
      </c>
      <c r="B64" t="s">
        <v>30</v>
      </c>
      <c r="C64" t="s">
        <v>22</v>
      </c>
      <c r="D64" t="s">
        <v>32</v>
      </c>
      <c r="E64">
        <v>209535</v>
      </c>
      <c r="F64">
        <v>4.5</v>
      </c>
      <c r="G64">
        <v>120</v>
      </c>
      <c r="H64">
        <v>115593</v>
      </c>
      <c r="I64">
        <v>795</v>
      </c>
      <c r="J64" t="s">
        <v>18</v>
      </c>
      <c r="K64">
        <v>22.2</v>
      </c>
      <c r="L64">
        <v>18.7</v>
      </c>
      <c r="M64" t="s">
        <v>48</v>
      </c>
      <c r="N64" s="7">
        <v>44317</v>
      </c>
      <c r="O64" t="str" cm="1">
        <f t="array" ref="O64">_xlfn.IFS(tbl_loans_clean[[#This Row],[Credit_Score]]&lt;650,"580-649",tbl_loans_clean[[#This Row],[Credit_Score]]&lt;700,"650-699",tbl_loans_clean[[#This Row],[Credit_Score]]&lt;750,"700-749",TRUE,"750+")</f>
        <v>750+</v>
      </c>
    </row>
    <row r="65" spans="1:15" x14ac:dyDescent="0.35">
      <c r="A65" t="s">
        <v>664</v>
      </c>
      <c r="B65" t="s">
        <v>15</v>
      </c>
      <c r="C65" t="s">
        <v>22</v>
      </c>
      <c r="D65" t="s">
        <v>17</v>
      </c>
      <c r="E65">
        <v>680673</v>
      </c>
      <c r="F65">
        <v>4.62</v>
      </c>
      <c r="G65">
        <v>120</v>
      </c>
      <c r="H65">
        <v>187094</v>
      </c>
      <c r="I65">
        <v>758</v>
      </c>
      <c r="J65" t="s">
        <v>18</v>
      </c>
      <c r="K65">
        <v>21.4</v>
      </c>
      <c r="L65">
        <v>28.7</v>
      </c>
      <c r="M65" t="s">
        <v>55</v>
      </c>
      <c r="N65" s="7">
        <v>44320</v>
      </c>
      <c r="O65" t="str" cm="1">
        <f t="array" ref="O65">_xlfn.IFS(tbl_loans_clean[[#This Row],[Credit_Score]]&lt;650,"580-649",tbl_loans_clean[[#This Row],[Credit_Score]]&lt;700,"650-699",tbl_loans_clean[[#This Row],[Credit_Score]]&lt;750,"700-749",TRUE,"750+")</f>
        <v>750+</v>
      </c>
    </row>
    <row r="66" spans="1:15" x14ac:dyDescent="0.35">
      <c r="A66" t="s">
        <v>320</v>
      </c>
      <c r="B66" t="s">
        <v>28</v>
      </c>
      <c r="C66" t="s">
        <v>22</v>
      </c>
      <c r="D66" t="s">
        <v>17</v>
      </c>
      <c r="E66">
        <v>192450</v>
      </c>
      <c r="F66">
        <v>11.13</v>
      </c>
      <c r="G66">
        <v>300</v>
      </c>
      <c r="H66">
        <v>85608</v>
      </c>
      <c r="I66">
        <v>687</v>
      </c>
      <c r="J66" t="s">
        <v>26</v>
      </c>
      <c r="K66">
        <v>13.9</v>
      </c>
      <c r="L66">
        <v>16.600000000000001</v>
      </c>
      <c r="M66" t="s">
        <v>19</v>
      </c>
      <c r="N66" s="7">
        <v>44321</v>
      </c>
      <c r="O66" t="str" cm="1">
        <f t="array" ref="O66">_xlfn.IFS(tbl_loans_clean[[#This Row],[Credit_Score]]&lt;650,"580-649",tbl_loans_clean[[#This Row],[Credit_Score]]&lt;700,"650-699",tbl_loans_clean[[#This Row],[Credit_Score]]&lt;750,"700-749",TRUE,"750+")</f>
        <v>650-699</v>
      </c>
    </row>
    <row r="67" spans="1:15" x14ac:dyDescent="0.35">
      <c r="A67" t="s">
        <v>491</v>
      </c>
      <c r="B67" t="s">
        <v>30</v>
      </c>
      <c r="C67" t="s">
        <v>16</v>
      </c>
      <c r="D67" t="s">
        <v>17</v>
      </c>
      <c r="E67">
        <v>575895</v>
      </c>
      <c r="F67">
        <v>9.6</v>
      </c>
      <c r="G67">
        <v>240</v>
      </c>
      <c r="H67">
        <v>38304</v>
      </c>
      <c r="I67">
        <v>719</v>
      </c>
      <c r="J67" t="s">
        <v>18</v>
      </c>
      <c r="K67">
        <v>18.600000000000001</v>
      </c>
      <c r="L67">
        <v>41.3</v>
      </c>
      <c r="M67" t="s">
        <v>23</v>
      </c>
      <c r="N67" s="7">
        <v>44321</v>
      </c>
      <c r="O67" t="str" cm="1">
        <f t="array" ref="O67">_xlfn.IFS(tbl_loans_clean[[#This Row],[Credit_Score]]&lt;650,"580-649",tbl_loans_clean[[#This Row],[Credit_Score]]&lt;700,"650-699",tbl_loans_clean[[#This Row],[Credit_Score]]&lt;750,"700-749",TRUE,"750+")</f>
        <v>700-749</v>
      </c>
    </row>
    <row r="68" spans="1:15" x14ac:dyDescent="0.35">
      <c r="A68" t="s">
        <v>31</v>
      </c>
      <c r="B68" t="s">
        <v>30</v>
      </c>
      <c r="C68" t="s">
        <v>16</v>
      </c>
      <c r="D68" t="s">
        <v>32</v>
      </c>
      <c r="E68">
        <v>346383</v>
      </c>
      <c r="F68">
        <v>5.04</v>
      </c>
      <c r="G68">
        <v>300</v>
      </c>
      <c r="H68">
        <v>140470</v>
      </c>
      <c r="I68">
        <v>744</v>
      </c>
      <c r="J68" t="s">
        <v>18</v>
      </c>
      <c r="K68">
        <v>16.600000000000001</v>
      </c>
      <c r="L68">
        <v>17.899999999999999</v>
      </c>
      <c r="M68" t="s">
        <v>23</v>
      </c>
      <c r="N68" s="7">
        <v>44328</v>
      </c>
      <c r="O68" t="str" cm="1">
        <f t="array" ref="O68">_xlfn.IFS(tbl_loans_clean[[#This Row],[Credit_Score]]&lt;650,"580-649",tbl_loans_clean[[#This Row],[Credit_Score]]&lt;700,"650-699",tbl_loans_clean[[#This Row],[Credit_Score]]&lt;750,"700-749",TRUE,"750+")</f>
        <v>700-749</v>
      </c>
    </row>
    <row r="69" spans="1:15" x14ac:dyDescent="0.35">
      <c r="A69" t="s">
        <v>268</v>
      </c>
      <c r="B69" t="s">
        <v>15</v>
      </c>
      <c r="C69" t="s">
        <v>34</v>
      </c>
      <c r="D69" t="s">
        <v>52</v>
      </c>
      <c r="E69">
        <v>600600</v>
      </c>
      <c r="F69">
        <v>6.89</v>
      </c>
      <c r="G69">
        <v>300</v>
      </c>
      <c r="H69">
        <v>68696</v>
      </c>
      <c r="I69">
        <v>686</v>
      </c>
      <c r="J69" t="s">
        <v>18</v>
      </c>
      <c r="K69">
        <v>3.2</v>
      </c>
      <c r="L69">
        <v>32.200000000000003</v>
      </c>
      <c r="M69" t="s">
        <v>23</v>
      </c>
      <c r="N69" s="7">
        <v>44329</v>
      </c>
      <c r="O69" t="str" cm="1">
        <f t="array" ref="O69">_xlfn.IFS(tbl_loans_clean[[#This Row],[Credit_Score]]&lt;650,"580-649",tbl_loans_clean[[#This Row],[Credit_Score]]&lt;700,"650-699",tbl_loans_clean[[#This Row],[Credit_Score]]&lt;750,"700-749",TRUE,"750+")</f>
        <v>650-699</v>
      </c>
    </row>
    <row r="70" spans="1:15" x14ac:dyDescent="0.35">
      <c r="A70" t="s">
        <v>462</v>
      </c>
      <c r="B70" t="s">
        <v>25</v>
      </c>
      <c r="C70" t="s">
        <v>34</v>
      </c>
      <c r="D70" t="s">
        <v>52</v>
      </c>
      <c r="E70">
        <v>521835</v>
      </c>
      <c r="F70">
        <v>5.95</v>
      </c>
      <c r="G70">
        <v>240</v>
      </c>
      <c r="H70">
        <v>145626</v>
      </c>
      <c r="I70">
        <v>811</v>
      </c>
      <c r="J70" t="s">
        <v>26</v>
      </c>
      <c r="K70">
        <v>6.2</v>
      </c>
      <c r="L70">
        <v>42.8</v>
      </c>
      <c r="M70" t="s">
        <v>23</v>
      </c>
      <c r="N70" s="7">
        <v>44329</v>
      </c>
      <c r="O70" t="str" cm="1">
        <f t="array" ref="O70">_xlfn.IFS(tbl_loans_clean[[#This Row],[Credit_Score]]&lt;650,"580-649",tbl_loans_clean[[#This Row],[Credit_Score]]&lt;700,"650-699",tbl_loans_clean[[#This Row],[Credit_Score]]&lt;750,"700-749",TRUE,"750+")</f>
        <v>750+</v>
      </c>
    </row>
    <row r="71" spans="1:15" x14ac:dyDescent="0.35">
      <c r="A71" t="s">
        <v>721</v>
      </c>
      <c r="B71" t="s">
        <v>37</v>
      </c>
      <c r="C71" t="s">
        <v>22</v>
      </c>
      <c r="D71" t="s">
        <v>17</v>
      </c>
      <c r="E71">
        <v>412085</v>
      </c>
      <c r="F71">
        <v>4.95</v>
      </c>
      <c r="G71">
        <v>12</v>
      </c>
      <c r="H71">
        <v>147682</v>
      </c>
      <c r="I71">
        <v>777</v>
      </c>
      <c r="J71" t="s">
        <v>26</v>
      </c>
      <c r="K71">
        <v>2.2999999999999998</v>
      </c>
      <c r="L71">
        <v>13.6</v>
      </c>
      <c r="M71" t="s">
        <v>23</v>
      </c>
      <c r="N71" s="7">
        <v>44329</v>
      </c>
      <c r="O71" t="str" cm="1">
        <f t="array" ref="O71">_xlfn.IFS(tbl_loans_clean[[#This Row],[Credit_Score]]&lt;650,"580-649",tbl_loans_clean[[#This Row],[Credit_Score]]&lt;700,"650-699",tbl_loans_clean[[#This Row],[Credit_Score]]&lt;750,"700-749",TRUE,"750+")</f>
        <v>750+</v>
      </c>
    </row>
    <row r="72" spans="1:15" x14ac:dyDescent="0.35">
      <c r="A72" t="s">
        <v>818</v>
      </c>
      <c r="B72" t="s">
        <v>30</v>
      </c>
      <c r="C72" t="s">
        <v>22</v>
      </c>
      <c r="D72" t="s">
        <v>17</v>
      </c>
      <c r="E72">
        <v>389193</v>
      </c>
      <c r="F72">
        <v>11.75</v>
      </c>
      <c r="G72">
        <v>36</v>
      </c>
      <c r="H72">
        <v>173717</v>
      </c>
      <c r="I72">
        <v>698</v>
      </c>
      <c r="J72" t="s">
        <v>26</v>
      </c>
      <c r="K72">
        <v>9.6</v>
      </c>
      <c r="L72">
        <v>30.4</v>
      </c>
      <c r="M72" t="s">
        <v>23</v>
      </c>
      <c r="N72" s="7">
        <v>44330</v>
      </c>
      <c r="O72" t="str" cm="1">
        <f t="array" ref="O72">_xlfn.IFS(tbl_loans_clean[[#This Row],[Credit_Score]]&lt;650,"580-649",tbl_loans_clean[[#This Row],[Credit_Score]]&lt;700,"650-699",tbl_loans_clean[[#This Row],[Credit_Score]]&lt;750,"700-749",TRUE,"750+")</f>
        <v>650-699</v>
      </c>
    </row>
    <row r="73" spans="1:15" x14ac:dyDescent="0.35">
      <c r="A73" t="s">
        <v>794</v>
      </c>
      <c r="B73" t="s">
        <v>28</v>
      </c>
      <c r="C73" t="s">
        <v>34</v>
      </c>
      <c r="D73" t="s">
        <v>45</v>
      </c>
      <c r="E73">
        <v>705406</v>
      </c>
      <c r="F73">
        <v>8.1999999999999993</v>
      </c>
      <c r="G73">
        <v>48</v>
      </c>
      <c r="H73">
        <v>174653</v>
      </c>
      <c r="I73">
        <v>773</v>
      </c>
      <c r="J73" t="s">
        <v>18</v>
      </c>
      <c r="K73">
        <v>8.8000000000000007</v>
      </c>
      <c r="L73">
        <v>12.6</v>
      </c>
      <c r="M73" t="s">
        <v>23</v>
      </c>
      <c r="N73" s="7">
        <v>44332</v>
      </c>
      <c r="O73" t="str" cm="1">
        <f t="array" ref="O73">_xlfn.IFS(tbl_loans_clean[[#This Row],[Credit_Score]]&lt;650,"580-649",tbl_loans_clean[[#This Row],[Credit_Score]]&lt;700,"650-699",tbl_loans_clean[[#This Row],[Credit_Score]]&lt;750,"700-749",TRUE,"750+")</f>
        <v>750+</v>
      </c>
    </row>
    <row r="74" spans="1:15" x14ac:dyDescent="0.35">
      <c r="A74" t="s">
        <v>407</v>
      </c>
      <c r="B74" t="s">
        <v>15</v>
      </c>
      <c r="C74" t="s">
        <v>34</v>
      </c>
      <c r="D74" t="s">
        <v>45</v>
      </c>
      <c r="E74">
        <v>741129</v>
      </c>
      <c r="F74">
        <v>11.59</v>
      </c>
      <c r="G74">
        <v>24</v>
      </c>
      <c r="H74">
        <v>114126</v>
      </c>
      <c r="I74">
        <v>841</v>
      </c>
      <c r="J74" t="s">
        <v>18</v>
      </c>
      <c r="K74">
        <v>9.3000000000000007</v>
      </c>
      <c r="L74">
        <v>15.3</v>
      </c>
      <c r="M74" t="s">
        <v>23</v>
      </c>
      <c r="N74" s="7">
        <v>44336</v>
      </c>
      <c r="O74" t="str" cm="1">
        <f t="array" ref="O74">_xlfn.IFS(tbl_loans_clean[[#This Row],[Credit_Score]]&lt;650,"580-649",tbl_loans_clean[[#This Row],[Credit_Score]]&lt;700,"650-699",tbl_loans_clean[[#This Row],[Credit_Score]]&lt;750,"700-749",TRUE,"750+")</f>
        <v>750+</v>
      </c>
    </row>
    <row r="75" spans="1:15" x14ac:dyDescent="0.35">
      <c r="A75" t="s">
        <v>826</v>
      </c>
      <c r="B75" t="s">
        <v>30</v>
      </c>
      <c r="C75" t="s">
        <v>34</v>
      </c>
      <c r="D75" t="s">
        <v>17</v>
      </c>
      <c r="E75">
        <v>562564</v>
      </c>
      <c r="F75">
        <v>13.32</v>
      </c>
      <c r="G75">
        <v>36</v>
      </c>
      <c r="H75">
        <v>43804</v>
      </c>
      <c r="I75">
        <v>582</v>
      </c>
      <c r="J75" t="s">
        <v>26</v>
      </c>
      <c r="K75">
        <v>6.6</v>
      </c>
      <c r="L75">
        <v>32.200000000000003</v>
      </c>
      <c r="M75" t="s">
        <v>55</v>
      </c>
      <c r="N75" s="7">
        <v>44339</v>
      </c>
      <c r="O75" t="str" cm="1">
        <f t="array" ref="O75">_xlfn.IFS(tbl_loans_clean[[#This Row],[Credit_Score]]&lt;650,"580-649",tbl_loans_clean[[#This Row],[Credit_Score]]&lt;700,"650-699",tbl_loans_clean[[#This Row],[Credit_Score]]&lt;750,"700-749",TRUE,"750+")</f>
        <v>580-649</v>
      </c>
    </row>
    <row r="76" spans="1:15" x14ac:dyDescent="0.35">
      <c r="A76" t="s">
        <v>68</v>
      </c>
      <c r="B76" t="s">
        <v>30</v>
      </c>
      <c r="C76" t="s">
        <v>22</v>
      </c>
      <c r="D76" t="s">
        <v>17</v>
      </c>
      <c r="E76">
        <v>255100</v>
      </c>
      <c r="F76">
        <v>6.7</v>
      </c>
      <c r="G76">
        <v>48</v>
      </c>
      <c r="H76">
        <v>75234</v>
      </c>
      <c r="I76">
        <v>767</v>
      </c>
      <c r="J76" t="s">
        <v>26</v>
      </c>
      <c r="K76">
        <v>17.8</v>
      </c>
      <c r="L76">
        <v>27.4</v>
      </c>
      <c r="M76" t="s">
        <v>55</v>
      </c>
      <c r="N76" s="7">
        <v>44343</v>
      </c>
      <c r="O76" t="str" cm="1">
        <f t="array" ref="O76">_xlfn.IFS(tbl_loans_clean[[#This Row],[Credit_Score]]&lt;650,"580-649",tbl_loans_clean[[#This Row],[Credit_Score]]&lt;700,"650-699",tbl_loans_clean[[#This Row],[Credit_Score]]&lt;750,"700-749",TRUE,"750+")</f>
        <v>750+</v>
      </c>
    </row>
    <row r="77" spans="1:15" x14ac:dyDescent="0.35">
      <c r="A77" t="s">
        <v>495</v>
      </c>
      <c r="B77" t="s">
        <v>83</v>
      </c>
      <c r="C77" t="s">
        <v>22</v>
      </c>
      <c r="D77" t="s">
        <v>73</v>
      </c>
      <c r="E77">
        <v>454763</v>
      </c>
      <c r="F77">
        <v>3.36</v>
      </c>
      <c r="G77">
        <v>240</v>
      </c>
      <c r="H77">
        <v>155039</v>
      </c>
      <c r="I77">
        <v>691</v>
      </c>
      <c r="J77" t="s">
        <v>26</v>
      </c>
      <c r="K77">
        <v>20.399999999999999</v>
      </c>
      <c r="L77">
        <v>45.9</v>
      </c>
      <c r="M77" t="s">
        <v>23</v>
      </c>
      <c r="N77" s="7">
        <v>44346</v>
      </c>
      <c r="O77" t="str" cm="1">
        <f t="array" ref="O77">_xlfn.IFS(tbl_loans_clean[[#This Row],[Credit_Score]]&lt;650,"580-649",tbl_loans_clean[[#This Row],[Credit_Score]]&lt;700,"650-699",tbl_loans_clean[[#This Row],[Credit_Score]]&lt;750,"700-749",TRUE,"750+")</f>
        <v>650-699</v>
      </c>
    </row>
    <row r="78" spans="1:15" x14ac:dyDescent="0.35">
      <c r="A78" t="s">
        <v>642</v>
      </c>
      <c r="B78" t="s">
        <v>30</v>
      </c>
      <c r="C78" t="s">
        <v>22</v>
      </c>
      <c r="D78" t="s">
        <v>52</v>
      </c>
      <c r="E78">
        <v>484083</v>
      </c>
      <c r="F78">
        <v>9.69</v>
      </c>
      <c r="G78">
        <v>24</v>
      </c>
      <c r="H78">
        <v>176246</v>
      </c>
      <c r="I78">
        <v>730</v>
      </c>
      <c r="J78" t="s">
        <v>18</v>
      </c>
      <c r="K78">
        <v>22.7</v>
      </c>
      <c r="L78">
        <v>10.9</v>
      </c>
      <c r="M78" t="s">
        <v>19</v>
      </c>
      <c r="N78" s="7">
        <v>44347</v>
      </c>
      <c r="O78" t="str" cm="1">
        <f t="array" ref="O78">_xlfn.IFS(tbl_loans_clean[[#This Row],[Credit_Score]]&lt;650,"580-649",tbl_loans_clean[[#This Row],[Credit_Score]]&lt;700,"650-699",tbl_loans_clean[[#This Row],[Credit_Score]]&lt;750,"700-749",TRUE,"750+")</f>
        <v>700-749</v>
      </c>
    </row>
    <row r="79" spans="1:15" x14ac:dyDescent="0.35">
      <c r="A79" t="s">
        <v>354</v>
      </c>
      <c r="B79" t="s">
        <v>30</v>
      </c>
      <c r="C79" t="s">
        <v>22</v>
      </c>
      <c r="D79" t="s">
        <v>52</v>
      </c>
      <c r="E79">
        <v>495083</v>
      </c>
      <c r="F79">
        <v>6.97</v>
      </c>
      <c r="G79">
        <v>300</v>
      </c>
      <c r="H79">
        <v>36531</v>
      </c>
      <c r="I79">
        <v>825</v>
      </c>
      <c r="J79" t="s">
        <v>39</v>
      </c>
      <c r="K79">
        <v>3.9</v>
      </c>
      <c r="L79">
        <v>27.2</v>
      </c>
      <c r="M79" t="s">
        <v>23</v>
      </c>
      <c r="N79" s="7">
        <v>44353</v>
      </c>
      <c r="O79" t="str" cm="1">
        <f t="array" ref="O79">_xlfn.IFS(tbl_loans_clean[[#This Row],[Credit_Score]]&lt;650,"580-649",tbl_loans_clean[[#This Row],[Credit_Score]]&lt;700,"650-699",tbl_loans_clean[[#This Row],[Credit_Score]]&lt;750,"700-749",TRUE,"750+")</f>
        <v>750+</v>
      </c>
    </row>
    <row r="80" spans="1:15" x14ac:dyDescent="0.35">
      <c r="A80" t="s">
        <v>197</v>
      </c>
      <c r="B80" t="s">
        <v>28</v>
      </c>
      <c r="C80" t="s">
        <v>16</v>
      </c>
      <c r="D80" t="s">
        <v>52</v>
      </c>
      <c r="E80">
        <v>569798</v>
      </c>
      <c r="F80">
        <v>3.91</v>
      </c>
      <c r="G80">
        <v>120</v>
      </c>
      <c r="H80">
        <v>111384</v>
      </c>
      <c r="I80">
        <v>640</v>
      </c>
      <c r="J80" t="s">
        <v>18</v>
      </c>
      <c r="K80">
        <v>12.8</v>
      </c>
      <c r="L80">
        <v>23.3</v>
      </c>
      <c r="M80" t="s">
        <v>19</v>
      </c>
      <c r="N80" s="7">
        <v>44354</v>
      </c>
      <c r="O80" t="str" cm="1">
        <f t="array" ref="O80">_xlfn.IFS(tbl_loans_clean[[#This Row],[Credit_Score]]&lt;650,"580-649",tbl_loans_clean[[#This Row],[Credit_Score]]&lt;700,"650-699",tbl_loans_clean[[#This Row],[Credit_Score]]&lt;750,"700-749",TRUE,"750+")</f>
        <v>580-649</v>
      </c>
    </row>
    <row r="81" spans="1:15" x14ac:dyDescent="0.35">
      <c r="A81" t="s">
        <v>245</v>
      </c>
      <c r="B81" t="s">
        <v>28</v>
      </c>
      <c r="C81" t="s">
        <v>34</v>
      </c>
      <c r="D81" t="s">
        <v>17</v>
      </c>
      <c r="E81">
        <v>675398</v>
      </c>
      <c r="F81">
        <v>10.6</v>
      </c>
      <c r="G81">
        <v>120</v>
      </c>
      <c r="H81">
        <v>99947</v>
      </c>
      <c r="I81">
        <v>808</v>
      </c>
      <c r="J81" t="s">
        <v>26</v>
      </c>
      <c r="K81">
        <v>15.4</v>
      </c>
      <c r="L81">
        <v>10</v>
      </c>
      <c r="M81" t="s">
        <v>23</v>
      </c>
      <c r="N81" s="7">
        <v>44356</v>
      </c>
      <c r="O81" t="str" cm="1">
        <f t="array" ref="O81">_xlfn.IFS(tbl_loans_clean[[#This Row],[Credit_Score]]&lt;650,"580-649",tbl_loans_clean[[#This Row],[Credit_Score]]&lt;700,"650-699",tbl_loans_clean[[#This Row],[Credit_Score]]&lt;750,"700-749",TRUE,"750+")</f>
        <v>750+</v>
      </c>
    </row>
    <row r="82" spans="1:15" x14ac:dyDescent="0.35">
      <c r="A82" t="s">
        <v>709</v>
      </c>
      <c r="B82" t="s">
        <v>30</v>
      </c>
      <c r="C82" t="s">
        <v>22</v>
      </c>
      <c r="D82" t="s">
        <v>38</v>
      </c>
      <c r="E82">
        <v>400395</v>
      </c>
      <c r="F82">
        <v>7.17</v>
      </c>
      <c r="G82">
        <v>240</v>
      </c>
      <c r="H82">
        <v>99894</v>
      </c>
      <c r="I82">
        <v>772</v>
      </c>
      <c r="J82" t="s">
        <v>26</v>
      </c>
      <c r="K82">
        <v>10.3</v>
      </c>
      <c r="L82">
        <v>47.4</v>
      </c>
      <c r="M82" t="s">
        <v>55</v>
      </c>
      <c r="N82" s="7">
        <v>44356</v>
      </c>
      <c r="O82" t="str" cm="1">
        <f t="array" ref="O82">_xlfn.IFS(tbl_loans_clean[[#This Row],[Credit_Score]]&lt;650,"580-649",tbl_loans_clean[[#This Row],[Credit_Score]]&lt;700,"650-699",tbl_loans_clean[[#This Row],[Credit_Score]]&lt;750,"700-749",TRUE,"750+")</f>
        <v>750+</v>
      </c>
    </row>
    <row r="83" spans="1:15" x14ac:dyDescent="0.35">
      <c r="A83" t="s">
        <v>548</v>
      </c>
      <c r="B83" t="s">
        <v>83</v>
      </c>
      <c r="C83" t="s">
        <v>16</v>
      </c>
      <c r="D83" t="s">
        <v>43</v>
      </c>
      <c r="E83">
        <v>80451</v>
      </c>
      <c r="F83">
        <v>10.09</v>
      </c>
      <c r="G83">
        <v>240</v>
      </c>
      <c r="H83">
        <v>87251</v>
      </c>
      <c r="I83">
        <v>683</v>
      </c>
      <c r="J83" t="s">
        <v>26</v>
      </c>
      <c r="K83">
        <v>25</v>
      </c>
      <c r="L83">
        <v>29.1</v>
      </c>
      <c r="M83" t="s">
        <v>23</v>
      </c>
      <c r="N83" s="7">
        <v>44357</v>
      </c>
      <c r="O83" t="str" cm="1">
        <f t="array" ref="O83">_xlfn.IFS(tbl_loans_clean[[#This Row],[Credit_Score]]&lt;650,"580-649",tbl_loans_clean[[#This Row],[Credit_Score]]&lt;700,"650-699",tbl_loans_clean[[#This Row],[Credit_Score]]&lt;750,"700-749",TRUE,"750+")</f>
        <v>650-699</v>
      </c>
    </row>
    <row r="84" spans="1:15" x14ac:dyDescent="0.35">
      <c r="A84" t="s">
        <v>27</v>
      </c>
      <c r="B84" t="s">
        <v>28</v>
      </c>
      <c r="C84" t="s">
        <v>16</v>
      </c>
      <c r="D84" t="s">
        <v>17</v>
      </c>
      <c r="E84">
        <v>514733</v>
      </c>
      <c r="F84">
        <v>8.81</v>
      </c>
      <c r="G84">
        <v>12</v>
      </c>
      <c r="H84">
        <v>191539</v>
      </c>
      <c r="I84">
        <v>595</v>
      </c>
      <c r="J84" t="s">
        <v>18</v>
      </c>
      <c r="K84">
        <v>13.7</v>
      </c>
      <c r="L84">
        <v>12.8</v>
      </c>
      <c r="M84" t="s">
        <v>23</v>
      </c>
      <c r="N84" s="7">
        <v>44358</v>
      </c>
      <c r="O84" t="str" cm="1">
        <f t="array" ref="O84">_xlfn.IFS(tbl_loans_clean[[#This Row],[Credit_Score]]&lt;650,"580-649",tbl_loans_clean[[#This Row],[Credit_Score]]&lt;700,"650-699",tbl_loans_clean[[#This Row],[Credit_Score]]&lt;750,"700-749",TRUE,"750+")</f>
        <v>580-649</v>
      </c>
    </row>
    <row r="85" spans="1:15" x14ac:dyDescent="0.35">
      <c r="A85" t="s">
        <v>755</v>
      </c>
      <c r="B85" t="s">
        <v>15</v>
      </c>
      <c r="C85" t="s">
        <v>22</v>
      </c>
      <c r="D85" t="s">
        <v>38</v>
      </c>
      <c r="E85">
        <v>226883</v>
      </c>
      <c r="F85">
        <v>7.63</v>
      </c>
      <c r="G85">
        <v>60</v>
      </c>
      <c r="H85">
        <v>62980</v>
      </c>
      <c r="I85">
        <v>782</v>
      </c>
      <c r="J85" t="s">
        <v>18</v>
      </c>
      <c r="K85">
        <v>3.2</v>
      </c>
      <c r="L85">
        <v>33</v>
      </c>
      <c r="M85" t="s">
        <v>19</v>
      </c>
      <c r="N85" s="7">
        <v>44358</v>
      </c>
      <c r="O85" t="str" cm="1">
        <f t="array" ref="O85">_xlfn.IFS(tbl_loans_clean[[#This Row],[Credit_Score]]&lt;650,"580-649",tbl_loans_clean[[#This Row],[Credit_Score]]&lt;700,"650-699",tbl_loans_clean[[#This Row],[Credit_Score]]&lt;750,"700-749",TRUE,"750+")</f>
        <v>750+</v>
      </c>
    </row>
    <row r="86" spans="1:15" x14ac:dyDescent="0.35">
      <c r="A86" t="s">
        <v>595</v>
      </c>
      <c r="B86" t="s">
        <v>15</v>
      </c>
      <c r="C86" t="s">
        <v>16</v>
      </c>
      <c r="D86" t="s">
        <v>43</v>
      </c>
      <c r="E86">
        <v>306014</v>
      </c>
      <c r="F86">
        <v>5.58</v>
      </c>
      <c r="G86">
        <v>300</v>
      </c>
      <c r="H86">
        <v>189096</v>
      </c>
      <c r="I86">
        <v>834</v>
      </c>
      <c r="J86" t="s">
        <v>35</v>
      </c>
      <c r="K86">
        <v>20</v>
      </c>
      <c r="L86">
        <v>34.799999999999997</v>
      </c>
      <c r="M86" t="s">
        <v>23</v>
      </c>
      <c r="N86" s="7">
        <v>44368</v>
      </c>
      <c r="O86" t="str" cm="1">
        <f t="array" ref="O86">_xlfn.IFS(tbl_loans_clean[[#This Row],[Credit_Score]]&lt;650,"580-649",tbl_loans_clean[[#This Row],[Credit_Score]]&lt;700,"650-699",tbl_loans_clean[[#This Row],[Credit_Score]]&lt;750,"700-749",TRUE,"750+")</f>
        <v>750+</v>
      </c>
    </row>
    <row r="87" spans="1:15" x14ac:dyDescent="0.35">
      <c r="A87" t="s">
        <v>510</v>
      </c>
      <c r="B87" t="s">
        <v>30</v>
      </c>
      <c r="C87" t="s">
        <v>16</v>
      </c>
      <c r="D87" t="s">
        <v>17</v>
      </c>
      <c r="E87">
        <v>92265</v>
      </c>
      <c r="F87">
        <v>11.19</v>
      </c>
      <c r="G87">
        <v>24</v>
      </c>
      <c r="H87">
        <v>62650</v>
      </c>
      <c r="I87">
        <v>837</v>
      </c>
      <c r="J87" t="s">
        <v>18</v>
      </c>
      <c r="K87">
        <v>19.3</v>
      </c>
      <c r="L87">
        <v>22.8</v>
      </c>
      <c r="M87" t="s">
        <v>23</v>
      </c>
      <c r="N87" s="7">
        <v>44369</v>
      </c>
      <c r="O87" t="str" cm="1">
        <f t="array" ref="O87">_xlfn.IFS(tbl_loans_clean[[#This Row],[Credit_Score]]&lt;650,"580-649",tbl_loans_clean[[#This Row],[Credit_Score]]&lt;700,"650-699",tbl_loans_clean[[#This Row],[Credit_Score]]&lt;750,"700-749",TRUE,"750+")</f>
        <v>750+</v>
      </c>
    </row>
    <row r="88" spans="1:15" x14ac:dyDescent="0.35">
      <c r="A88" t="s">
        <v>61</v>
      </c>
      <c r="B88" t="s">
        <v>15</v>
      </c>
      <c r="C88" t="s">
        <v>16</v>
      </c>
      <c r="D88" t="s">
        <v>17</v>
      </c>
      <c r="E88">
        <v>381794</v>
      </c>
      <c r="F88">
        <v>5.23</v>
      </c>
      <c r="G88">
        <v>240</v>
      </c>
      <c r="H88">
        <v>52704</v>
      </c>
      <c r="I88">
        <v>750</v>
      </c>
      <c r="J88" t="s">
        <v>18</v>
      </c>
      <c r="K88">
        <v>6.4</v>
      </c>
      <c r="L88">
        <v>31</v>
      </c>
      <c r="M88" t="s">
        <v>19</v>
      </c>
      <c r="N88" s="7">
        <v>44371</v>
      </c>
      <c r="O88" t="str" cm="1">
        <f t="array" ref="O88">_xlfn.IFS(tbl_loans_clean[[#This Row],[Credit_Score]]&lt;650,"580-649",tbl_loans_clean[[#This Row],[Credit_Score]]&lt;700,"650-699",tbl_loans_clean[[#This Row],[Credit_Score]]&lt;750,"700-749",TRUE,"750+")</f>
        <v>750+</v>
      </c>
    </row>
    <row r="89" spans="1:15" x14ac:dyDescent="0.35">
      <c r="A89" t="s">
        <v>250</v>
      </c>
      <c r="B89" t="s">
        <v>30</v>
      </c>
      <c r="C89" t="s">
        <v>22</v>
      </c>
      <c r="D89" t="s">
        <v>17</v>
      </c>
      <c r="E89">
        <v>315655</v>
      </c>
      <c r="F89">
        <v>5.3</v>
      </c>
      <c r="G89">
        <v>120</v>
      </c>
      <c r="H89">
        <v>56926</v>
      </c>
      <c r="I89">
        <v>747</v>
      </c>
      <c r="J89" t="s">
        <v>18</v>
      </c>
      <c r="K89">
        <v>17.2</v>
      </c>
      <c r="L89">
        <v>15.6</v>
      </c>
      <c r="M89" t="s">
        <v>23</v>
      </c>
      <c r="N89" s="7">
        <v>44376</v>
      </c>
      <c r="O89" t="str" cm="1">
        <f t="array" ref="O89">_xlfn.IFS(tbl_loans_clean[[#This Row],[Credit_Score]]&lt;650,"580-649",tbl_loans_clean[[#This Row],[Credit_Score]]&lt;700,"650-699",tbl_loans_clean[[#This Row],[Credit_Score]]&lt;750,"700-749",TRUE,"750+")</f>
        <v>700-749</v>
      </c>
    </row>
    <row r="90" spans="1:15" x14ac:dyDescent="0.35">
      <c r="A90" t="s">
        <v>242</v>
      </c>
      <c r="B90" t="s">
        <v>30</v>
      </c>
      <c r="C90" t="s">
        <v>16</v>
      </c>
      <c r="D90" t="s">
        <v>38</v>
      </c>
      <c r="E90">
        <v>636040</v>
      </c>
      <c r="F90">
        <v>4.3899999999999997</v>
      </c>
      <c r="G90">
        <v>120</v>
      </c>
      <c r="H90">
        <v>166442</v>
      </c>
      <c r="I90">
        <v>676</v>
      </c>
      <c r="J90" t="s">
        <v>18</v>
      </c>
      <c r="K90">
        <v>8</v>
      </c>
      <c r="L90">
        <v>44.2</v>
      </c>
      <c r="M90" t="s">
        <v>19</v>
      </c>
      <c r="N90" s="7">
        <v>44382</v>
      </c>
      <c r="O90" t="str" cm="1">
        <f t="array" ref="O90">_xlfn.IFS(tbl_loans_clean[[#This Row],[Credit_Score]]&lt;650,"580-649",tbl_loans_clean[[#This Row],[Credit_Score]]&lt;700,"650-699",tbl_loans_clean[[#This Row],[Credit_Score]]&lt;750,"700-749",TRUE,"750+")</f>
        <v>650-699</v>
      </c>
    </row>
    <row r="91" spans="1:15" x14ac:dyDescent="0.35">
      <c r="A91" t="s">
        <v>44</v>
      </c>
      <c r="B91" t="s">
        <v>21</v>
      </c>
      <c r="C91" t="s">
        <v>34</v>
      </c>
      <c r="D91" t="s">
        <v>45</v>
      </c>
      <c r="E91">
        <v>624328</v>
      </c>
      <c r="F91">
        <v>3.33</v>
      </c>
      <c r="G91">
        <v>36</v>
      </c>
      <c r="H91">
        <v>77052</v>
      </c>
      <c r="I91">
        <v>793</v>
      </c>
      <c r="J91" t="s">
        <v>18</v>
      </c>
      <c r="K91">
        <v>24.4</v>
      </c>
      <c r="L91">
        <v>39.1</v>
      </c>
      <c r="M91" t="s">
        <v>19</v>
      </c>
      <c r="N91" s="7">
        <v>44383</v>
      </c>
      <c r="O91" t="str" cm="1">
        <f t="array" ref="O91">_xlfn.IFS(tbl_loans_clean[[#This Row],[Credit_Score]]&lt;650,"580-649",tbl_loans_clean[[#This Row],[Credit_Score]]&lt;700,"650-699",tbl_loans_clean[[#This Row],[Credit_Score]]&lt;750,"700-749",TRUE,"750+")</f>
        <v>750+</v>
      </c>
    </row>
    <row r="92" spans="1:15" x14ac:dyDescent="0.35">
      <c r="A92" t="s">
        <v>796</v>
      </c>
      <c r="B92" t="s">
        <v>30</v>
      </c>
      <c r="C92" t="s">
        <v>22</v>
      </c>
      <c r="D92" t="s">
        <v>38</v>
      </c>
      <c r="E92">
        <v>724785</v>
      </c>
      <c r="F92">
        <v>7.08</v>
      </c>
      <c r="G92">
        <v>12</v>
      </c>
      <c r="H92">
        <v>57424</v>
      </c>
      <c r="I92">
        <v>785</v>
      </c>
      <c r="J92" t="s">
        <v>18</v>
      </c>
      <c r="K92">
        <v>13.3</v>
      </c>
      <c r="L92">
        <v>36.799999999999997</v>
      </c>
      <c r="M92" t="s">
        <v>19</v>
      </c>
      <c r="N92" s="7">
        <v>44389</v>
      </c>
      <c r="O92" t="str" cm="1">
        <f t="array" ref="O92">_xlfn.IFS(tbl_loans_clean[[#This Row],[Credit_Score]]&lt;650,"580-649",tbl_loans_clean[[#This Row],[Credit_Score]]&lt;700,"650-699",tbl_loans_clean[[#This Row],[Credit_Score]]&lt;750,"700-749",TRUE,"750+")</f>
        <v>750+</v>
      </c>
    </row>
    <row r="93" spans="1:15" x14ac:dyDescent="0.35">
      <c r="A93" t="s">
        <v>386</v>
      </c>
      <c r="B93" t="s">
        <v>15</v>
      </c>
      <c r="C93" t="s">
        <v>22</v>
      </c>
      <c r="D93" t="s">
        <v>38</v>
      </c>
      <c r="E93">
        <v>392881</v>
      </c>
      <c r="F93">
        <v>11.37</v>
      </c>
      <c r="G93">
        <v>60</v>
      </c>
      <c r="H93">
        <v>58063</v>
      </c>
      <c r="I93">
        <v>698</v>
      </c>
      <c r="J93" t="s">
        <v>18</v>
      </c>
      <c r="K93">
        <v>2.9</v>
      </c>
      <c r="L93">
        <v>14.5</v>
      </c>
      <c r="M93" t="s">
        <v>19</v>
      </c>
      <c r="N93" s="7">
        <v>44392</v>
      </c>
      <c r="O93" t="str" cm="1">
        <f t="array" ref="O93">_xlfn.IFS(tbl_loans_clean[[#This Row],[Credit_Score]]&lt;650,"580-649",tbl_loans_clean[[#This Row],[Credit_Score]]&lt;700,"650-699",tbl_loans_clean[[#This Row],[Credit_Score]]&lt;750,"700-749",TRUE,"750+")</f>
        <v>650-699</v>
      </c>
    </row>
    <row r="94" spans="1:15" x14ac:dyDescent="0.35">
      <c r="A94" t="s">
        <v>570</v>
      </c>
      <c r="B94" t="s">
        <v>30</v>
      </c>
      <c r="C94" t="s">
        <v>16</v>
      </c>
      <c r="D94" t="s">
        <v>43</v>
      </c>
      <c r="E94">
        <v>200877</v>
      </c>
      <c r="F94">
        <v>10.65</v>
      </c>
      <c r="G94">
        <v>24</v>
      </c>
      <c r="H94">
        <v>55464</v>
      </c>
      <c r="I94">
        <v>684</v>
      </c>
      <c r="J94" t="s">
        <v>26</v>
      </c>
      <c r="K94">
        <v>8.9</v>
      </c>
      <c r="L94">
        <v>34.9</v>
      </c>
      <c r="M94" t="s">
        <v>23</v>
      </c>
      <c r="N94" s="7">
        <v>44392</v>
      </c>
      <c r="O94" t="str" cm="1">
        <f t="array" ref="O94">_xlfn.IFS(tbl_loans_clean[[#This Row],[Credit_Score]]&lt;650,"580-649",tbl_loans_clean[[#This Row],[Credit_Score]]&lt;700,"650-699",tbl_loans_clean[[#This Row],[Credit_Score]]&lt;750,"700-749",TRUE,"750+")</f>
        <v>650-699</v>
      </c>
    </row>
    <row r="95" spans="1:15" x14ac:dyDescent="0.35">
      <c r="A95" t="s">
        <v>298</v>
      </c>
      <c r="B95" t="s">
        <v>28</v>
      </c>
      <c r="C95" t="s">
        <v>22</v>
      </c>
      <c r="D95" t="s">
        <v>32</v>
      </c>
      <c r="E95">
        <v>428966</v>
      </c>
      <c r="F95">
        <v>3.42</v>
      </c>
      <c r="G95">
        <v>24</v>
      </c>
      <c r="H95">
        <v>126234</v>
      </c>
      <c r="I95">
        <v>604</v>
      </c>
      <c r="J95" t="s">
        <v>39</v>
      </c>
      <c r="K95">
        <v>17.100000000000001</v>
      </c>
      <c r="L95">
        <v>9.1999999999999993</v>
      </c>
      <c r="M95" t="s">
        <v>19</v>
      </c>
      <c r="N95" s="7">
        <v>44394</v>
      </c>
      <c r="O95" t="str" cm="1">
        <f t="array" ref="O95">_xlfn.IFS(tbl_loans_clean[[#This Row],[Credit_Score]]&lt;650,"580-649",tbl_loans_clean[[#This Row],[Credit_Score]]&lt;700,"650-699",tbl_loans_clean[[#This Row],[Credit_Score]]&lt;750,"700-749",TRUE,"750+")</f>
        <v>580-649</v>
      </c>
    </row>
    <row r="96" spans="1:15" x14ac:dyDescent="0.35">
      <c r="A96" t="s">
        <v>153</v>
      </c>
      <c r="B96" t="s">
        <v>71</v>
      </c>
      <c r="C96" t="s">
        <v>16</v>
      </c>
      <c r="D96" t="s">
        <v>38</v>
      </c>
      <c r="E96">
        <v>595381</v>
      </c>
      <c r="F96">
        <v>4.95</v>
      </c>
      <c r="G96">
        <v>240</v>
      </c>
      <c r="H96">
        <v>135286</v>
      </c>
      <c r="I96">
        <v>704</v>
      </c>
      <c r="J96" t="s">
        <v>39</v>
      </c>
      <c r="K96">
        <v>11.4</v>
      </c>
      <c r="L96">
        <v>36.4</v>
      </c>
      <c r="M96" t="s">
        <v>19</v>
      </c>
      <c r="N96" s="7">
        <v>44396</v>
      </c>
      <c r="O96" t="str" cm="1">
        <f t="array" ref="O96">_xlfn.IFS(tbl_loans_clean[[#This Row],[Credit_Score]]&lt;650,"580-649",tbl_loans_clean[[#This Row],[Credit_Score]]&lt;700,"650-699",tbl_loans_clean[[#This Row],[Credit_Score]]&lt;750,"700-749",TRUE,"750+")</f>
        <v>700-749</v>
      </c>
    </row>
    <row r="97" spans="1:15" x14ac:dyDescent="0.35">
      <c r="A97" t="s">
        <v>512</v>
      </c>
      <c r="B97" t="s">
        <v>30</v>
      </c>
      <c r="C97" t="s">
        <v>16</v>
      </c>
      <c r="D97" t="s">
        <v>38</v>
      </c>
      <c r="E97">
        <v>563158</v>
      </c>
      <c r="F97">
        <v>5.79</v>
      </c>
      <c r="G97">
        <v>300</v>
      </c>
      <c r="H97">
        <v>131889</v>
      </c>
      <c r="I97">
        <v>667</v>
      </c>
      <c r="J97" t="s">
        <v>18</v>
      </c>
      <c r="K97">
        <v>20.7</v>
      </c>
      <c r="L97">
        <v>30.4</v>
      </c>
      <c r="M97" t="s">
        <v>23</v>
      </c>
      <c r="N97" s="7">
        <v>44397</v>
      </c>
      <c r="O97" t="str" cm="1">
        <f t="array" ref="O97">_xlfn.IFS(tbl_loans_clean[[#This Row],[Credit_Score]]&lt;650,"580-649",tbl_loans_clean[[#This Row],[Credit_Score]]&lt;700,"650-699",tbl_loans_clean[[#This Row],[Credit_Score]]&lt;750,"700-749",TRUE,"750+")</f>
        <v>650-699</v>
      </c>
    </row>
    <row r="98" spans="1:15" x14ac:dyDescent="0.35">
      <c r="A98" t="s">
        <v>767</v>
      </c>
      <c r="B98" t="s">
        <v>25</v>
      </c>
      <c r="C98" t="s">
        <v>22</v>
      </c>
      <c r="D98" t="s">
        <v>52</v>
      </c>
      <c r="E98">
        <v>745389</v>
      </c>
      <c r="F98">
        <v>9.1300000000000008</v>
      </c>
      <c r="G98">
        <v>240</v>
      </c>
      <c r="H98">
        <v>36802</v>
      </c>
      <c r="I98">
        <v>688</v>
      </c>
      <c r="J98" t="s">
        <v>18</v>
      </c>
      <c r="K98">
        <v>20.7</v>
      </c>
      <c r="L98">
        <v>40.1</v>
      </c>
      <c r="M98" t="s">
        <v>23</v>
      </c>
      <c r="N98" s="7">
        <v>44397</v>
      </c>
      <c r="O98" t="str" cm="1">
        <f t="array" ref="O98">_xlfn.IFS(tbl_loans_clean[[#This Row],[Credit_Score]]&lt;650,"580-649",tbl_loans_clean[[#This Row],[Credit_Score]]&lt;700,"650-699",tbl_loans_clean[[#This Row],[Credit_Score]]&lt;750,"700-749",TRUE,"750+")</f>
        <v>650-699</v>
      </c>
    </row>
    <row r="99" spans="1:15" x14ac:dyDescent="0.35">
      <c r="A99" t="s">
        <v>737</v>
      </c>
      <c r="B99" t="s">
        <v>28</v>
      </c>
      <c r="C99" t="s">
        <v>16</v>
      </c>
      <c r="D99" t="s">
        <v>17</v>
      </c>
      <c r="E99">
        <v>691268</v>
      </c>
      <c r="F99">
        <v>8.86</v>
      </c>
      <c r="G99">
        <v>60</v>
      </c>
      <c r="H99">
        <v>123558</v>
      </c>
      <c r="I99">
        <v>830</v>
      </c>
      <c r="J99" t="s">
        <v>18</v>
      </c>
      <c r="K99">
        <v>5.7</v>
      </c>
      <c r="L99">
        <v>37.700000000000003</v>
      </c>
      <c r="M99" t="s">
        <v>23</v>
      </c>
      <c r="N99" s="7">
        <v>44398</v>
      </c>
      <c r="O99" t="str" cm="1">
        <f t="array" ref="O99">_xlfn.IFS(tbl_loans_clean[[#This Row],[Credit_Score]]&lt;650,"580-649",tbl_loans_clean[[#This Row],[Credit_Score]]&lt;700,"650-699",tbl_loans_clean[[#This Row],[Credit_Score]]&lt;750,"700-749",TRUE,"750+")</f>
        <v>750+</v>
      </c>
    </row>
    <row r="100" spans="1:15" x14ac:dyDescent="0.35">
      <c r="A100" t="s">
        <v>712</v>
      </c>
      <c r="B100" t="s">
        <v>30</v>
      </c>
      <c r="C100" t="s">
        <v>16</v>
      </c>
      <c r="D100" t="s">
        <v>17</v>
      </c>
      <c r="E100">
        <v>315001</v>
      </c>
      <c r="F100">
        <v>13.6</v>
      </c>
      <c r="G100">
        <v>12</v>
      </c>
      <c r="H100">
        <v>29462</v>
      </c>
      <c r="I100">
        <v>812</v>
      </c>
      <c r="J100" t="s">
        <v>18</v>
      </c>
      <c r="K100">
        <v>5.3</v>
      </c>
      <c r="L100">
        <v>8.1999999999999993</v>
      </c>
      <c r="M100" t="s">
        <v>23</v>
      </c>
      <c r="N100" s="7">
        <v>44401</v>
      </c>
      <c r="O100" t="str" cm="1">
        <f t="array" ref="O100">_xlfn.IFS(tbl_loans_clean[[#This Row],[Credit_Score]]&lt;650,"580-649",tbl_loans_clean[[#This Row],[Credit_Score]]&lt;700,"650-699",tbl_loans_clean[[#This Row],[Credit_Score]]&lt;750,"700-749",TRUE,"750+")</f>
        <v>750+</v>
      </c>
    </row>
    <row r="101" spans="1:15" x14ac:dyDescent="0.35">
      <c r="A101" t="s">
        <v>770</v>
      </c>
      <c r="B101" t="s">
        <v>30</v>
      </c>
      <c r="C101" t="s">
        <v>34</v>
      </c>
      <c r="D101" t="s">
        <v>45</v>
      </c>
      <c r="E101">
        <v>745520</v>
      </c>
      <c r="F101">
        <v>7.1</v>
      </c>
      <c r="G101">
        <v>36</v>
      </c>
      <c r="H101">
        <v>39516</v>
      </c>
      <c r="I101">
        <v>626</v>
      </c>
      <c r="J101" t="s">
        <v>18</v>
      </c>
      <c r="K101">
        <v>4.9000000000000004</v>
      </c>
      <c r="L101">
        <v>26.2</v>
      </c>
      <c r="M101" t="s">
        <v>23</v>
      </c>
      <c r="N101" s="7">
        <v>44402</v>
      </c>
      <c r="O101" t="str" cm="1">
        <f t="array" ref="O101">_xlfn.IFS(tbl_loans_clean[[#This Row],[Credit_Score]]&lt;650,"580-649",tbl_loans_clean[[#This Row],[Credit_Score]]&lt;700,"650-699",tbl_loans_clean[[#This Row],[Credit_Score]]&lt;750,"700-749",TRUE,"750+")</f>
        <v>580-649</v>
      </c>
    </row>
    <row r="102" spans="1:15" x14ac:dyDescent="0.35">
      <c r="A102" t="s">
        <v>633</v>
      </c>
      <c r="B102" t="s">
        <v>28</v>
      </c>
      <c r="C102" t="s">
        <v>22</v>
      </c>
      <c r="D102" t="s">
        <v>73</v>
      </c>
      <c r="E102">
        <v>658015</v>
      </c>
      <c r="F102">
        <v>8.7100000000000009</v>
      </c>
      <c r="G102">
        <v>60</v>
      </c>
      <c r="H102">
        <v>217603</v>
      </c>
      <c r="I102">
        <v>821</v>
      </c>
      <c r="J102" t="s">
        <v>18</v>
      </c>
      <c r="K102">
        <v>2.1</v>
      </c>
      <c r="L102">
        <v>18.5</v>
      </c>
      <c r="M102" t="s">
        <v>23</v>
      </c>
      <c r="N102" s="7">
        <v>44405</v>
      </c>
      <c r="O102" t="str" cm="1">
        <f t="array" ref="O102">_xlfn.IFS(tbl_loans_clean[[#This Row],[Credit_Score]]&lt;650,"580-649",tbl_loans_clean[[#This Row],[Credit_Score]]&lt;700,"650-699",tbl_loans_clean[[#This Row],[Credit_Score]]&lt;750,"700-749",TRUE,"750+")</f>
        <v>750+</v>
      </c>
    </row>
    <row r="103" spans="1:15" x14ac:dyDescent="0.35">
      <c r="A103" t="s">
        <v>801</v>
      </c>
      <c r="B103" t="s">
        <v>25</v>
      </c>
      <c r="C103" t="s">
        <v>34</v>
      </c>
      <c r="D103" t="s">
        <v>17</v>
      </c>
      <c r="E103">
        <v>83077</v>
      </c>
      <c r="F103">
        <v>13.69</v>
      </c>
      <c r="G103">
        <v>60</v>
      </c>
      <c r="H103">
        <v>90699</v>
      </c>
      <c r="I103">
        <v>667</v>
      </c>
      <c r="J103" t="s">
        <v>18</v>
      </c>
      <c r="K103">
        <v>20.100000000000001</v>
      </c>
      <c r="L103">
        <v>10.3</v>
      </c>
      <c r="M103" t="s">
        <v>55</v>
      </c>
      <c r="N103" s="7">
        <v>44405</v>
      </c>
      <c r="O103" t="str" cm="1">
        <f t="array" ref="O103">_xlfn.IFS(tbl_loans_clean[[#This Row],[Credit_Score]]&lt;650,"580-649",tbl_loans_clean[[#This Row],[Credit_Score]]&lt;700,"650-699",tbl_loans_clean[[#This Row],[Credit_Score]]&lt;750,"700-749",TRUE,"750+")</f>
        <v>650-699</v>
      </c>
    </row>
    <row r="104" spans="1:15" x14ac:dyDescent="0.35">
      <c r="A104" t="s">
        <v>57</v>
      </c>
      <c r="B104" t="s">
        <v>28</v>
      </c>
      <c r="C104" t="s">
        <v>34</v>
      </c>
      <c r="D104" t="s">
        <v>32</v>
      </c>
      <c r="E104">
        <v>206260</v>
      </c>
      <c r="F104">
        <v>3.78</v>
      </c>
      <c r="G104">
        <v>48</v>
      </c>
      <c r="H104">
        <v>113886</v>
      </c>
      <c r="I104">
        <v>711</v>
      </c>
      <c r="J104" t="s">
        <v>18</v>
      </c>
      <c r="K104">
        <v>1.6</v>
      </c>
      <c r="L104">
        <v>32.9</v>
      </c>
      <c r="M104" t="s">
        <v>48</v>
      </c>
      <c r="N104" s="7">
        <v>44406</v>
      </c>
      <c r="O104" t="str" cm="1">
        <f t="array" ref="O104">_xlfn.IFS(tbl_loans_clean[[#This Row],[Credit_Score]]&lt;650,"580-649",tbl_loans_clean[[#This Row],[Credit_Score]]&lt;700,"650-699",tbl_loans_clean[[#This Row],[Credit_Score]]&lt;750,"700-749",TRUE,"750+")</f>
        <v>700-749</v>
      </c>
    </row>
    <row r="105" spans="1:15" x14ac:dyDescent="0.35">
      <c r="A105" t="s">
        <v>288</v>
      </c>
      <c r="B105" t="s">
        <v>21</v>
      </c>
      <c r="C105" t="s">
        <v>22</v>
      </c>
      <c r="D105" t="s">
        <v>17</v>
      </c>
      <c r="E105">
        <v>514492</v>
      </c>
      <c r="F105">
        <v>11.04</v>
      </c>
      <c r="G105">
        <v>120</v>
      </c>
      <c r="H105">
        <v>163028</v>
      </c>
      <c r="I105">
        <v>628</v>
      </c>
      <c r="J105" t="s">
        <v>18</v>
      </c>
      <c r="K105">
        <v>19.5</v>
      </c>
      <c r="L105">
        <v>33.6</v>
      </c>
      <c r="M105" t="s">
        <v>19</v>
      </c>
      <c r="N105" s="7">
        <v>44412</v>
      </c>
      <c r="O105" t="str" cm="1">
        <f t="array" ref="O105">_xlfn.IFS(tbl_loans_clean[[#This Row],[Credit_Score]]&lt;650,"580-649",tbl_loans_clean[[#This Row],[Credit_Score]]&lt;700,"650-699",tbl_loans_clean[[#This Row],[Credit_Score]]&lt;750,"700-749",TRUE,"750+")</f>
        <v>580-649</v>
      </c>
    </row>
    <row r="106" spans="1:15" x14ac:dyDescent="0.35">
      <c r="A106" t="s">
        <v>513</v>
      </c>
      <c r="B106" t="s">
        <v>21</v>
      </c>
      <c r="C106" t="s">
        <v>34</v>
      </c>
      <c r="D106" t="s">
        <v>32</v>
      </c>
      <c r="E106">
        <v>632835</v>
      </c>
      <c r="F106">
        <v>9.94</v>
      </c>
      <c r="G106">
        <v>60</v>
      </c>
      <c r="H106">
        <v>31159</v>
      </c>
      <c r="I106">
        <v>783</v>
      </c>
      <c r="J106" t="s">
        <v>26</v>
      </c>
      <c r="K106">
        <v>10.7</v>
      </c>
      <c r="L106">
        <v>37.1</v>
      </c>
      <c r="M106" t="s">
        <v>23</v>
      </c>
      <c r="N106" s="7">
        <v>44413</v>
      </c>
      <c r="O106" t="str" cm="1">
        <f t="array" ref="O106">_xlfn.IFS(tbl_loans_clean[[#This Row],[Credit_Score]]&lt;650,"580-649",tbl_loans_clean[[#This Row],[Credit_Score]]&lt;700,"650-699",tbl_loans_clean[[#This Row],[Credit_Score]]&lt;750,"700-749",TRUE,"750+")</f>
        <v>750+</v>
      </c>
    </row>
    <row r="107" spans="1:15" x14ac:dyDescent="0.35">
      <c r="A107" t="s">
        <v>763</v>
      </c>
      <c r="B107" t="s">
        <v>30</v>
      </c>
      <c r="C107" t="s">
        <v>34</v>
      </c>
      <c r="D107" t="s">
        <v>38</v>
      </c>
      <c r="E107">
        <v>619741</v>
      </c>
      <c r="F107">
        <v>7.58</v>
      </c>
      <c r="G107">
        <v>48</v>
      </c>
      <c r="H107">
        <v>201615</v>
      </c>
      <c r="I107">
        <v>790</v>
      </c>
      <c r="J107" t="s">
        <v>26</v>
      </c>
      <c r="K107">
        <v>10.3</v>
      </c>
      <c r="L107">
        <v>21</v>
      </c>
      <c r="M107" t="s">
        <v>23</v>
      </c>
      <c r="N107" s="7">
        <v>44413</v>
      </c>
      <c r="O107" t="str" cm="1">
        <f t="array" ref="O107">_xlfn.IFS(tbl_loans_clean[[#This Row],[Credit_Score]]&lt;650,"580-649",tbl_loans_clean[[#This Row],[Credit_Score]]&lt;700,"650-699",tbl_loans_clean[[#This Row],[Credit_Score]]&lt;750,"700-749",TRUE,"750+")</f>
        <v>750+</v>
      </c>
    </row>
    <row r="108" spans="1:15" x14ac:dyDescent="0.35">
      <c r="A108" t="s">
        <v>196</v>
      </c>
      <c r="B108" t="s">
        <v>30</v>
      </c>
      <c r="C108" t="s">
        <v>22</v>
      </c>
      <c r="D108" t="s">
        <v>38</v>
      </c>
      <c r="E108">
        <v>640719</v>
      </c>
      <c r="F108">
        <v>6</v>
      </c>
      <c r="G108">
        <v>120</v>
      </c>
      <c r="H108">
        <v>188073</v>
      </c>
      <c r="I108">
        <v>580</v>
      </c>
      <c r="J108" t="s">
        <v>39</v>
      </c>
      <c r="K108">
        <v>7.9</v>
      </c>
      <c r="L108">
        <v>24.3</v>
      </c>
      <c r="M108" t="s">
        <v>23</v>
      </c>
      <c r="N108" s="7">
        <v>44418</v>
      </c>
      <c r="O108" t="str" cm="1">
        <f t="array" ref="O108">_xlfn.IFS(tbl_loans_clean[[#This Row],[Credit_Score]]&lt;650,"580-649",tbl_loans_clean[[#This Row],[Credit_Score]]&lt;700,"650-699",tbl_loans_clean[[#This Row],[Credit_Score]]&lt;750,"700-749",TRUE,"750+")</f>
        <v>580-649</v>
      </c>
    </row>
    <row r="109" spans="1:15" x14ac:dyDescent="0.35">
      <c r="A109" t="s">
        <v>248</v>
      </c>
      <c r="B109" t="s">
        <v>28</v>
      </c>
      <c r="C109" t="s">
        <v>34</v>
      </c>
      <c r="D109" t="s">
        <v>17</v>
      </c>
      <c r="E109">
        <v>59189</v>
      </c>
      <c r="F109">
        <v>5.01</v>
      </c>
      <c r="G109">
        <v>240</v>
      </c>
      <c r="H109">
        <v>141753</v>
      </c>
      <c r="I109">
        <v>696</v>
      </c>
      <c r="J109" t="s">
        <v>26</v>
      </c>
      <c r="K109">
        <v>8.6999999999999993</v>
      </c>
      <c r="L109">
        <v>25.8</v>
      </c>
      <c r="M109" t="s">
        <v>19</v>
      </c>
      <c r="N109" s="7">
        <v>44420</v>
      </c>
      <c r="O109" t="str" cm="1">
        <f t="array" ref="O109">_xlfn.IFS(tbl_loans_clean[[#This Row],[Credit_Score]]&lt;650,"580-649",tbl_loans_clean[[#This Row],[Credit_Score]]&lt;700,"650-699",tbl_loans_clean[[#This Row],[Credit_Score]]&lt;750,"700-749",TRUE,"750+")</f>
        <v>650-699</v>
      </c>
    </row>
    <row r="110" spans="1:15" x14ac:dyDescent="0.35">
      <c r="A110" t="s">
        <v>787</v>
      </c>
      <c r="B110" t="s">
        <v>83</v>
      </c>
      <c r="C110" t="s">
        <v>22</v>
      </c>
      <c r="D110" t="s">
        <v>45</v>
      </c>
      <c r="E110">
        <v>425343</v>
      </c>
      <c r="F110">
        <v>11.29</v>
      </c>
      <c r="G110">
        <v>240</v>
      </c>
      <c r="H110">
        <v>149635</v>
      </c>
      <c r="I110">
        <v>614</v>
      </c>
      <c r="J110" t="s">
        <v>39</v>
      </c>
      <c r="K110">
        <v>22.8</v>
      </c>
      <c r="L110">
        <v>14.6</v>
      </c>
      <c r="M110" t="s">
        <v>23</v>
      </c>
      <c r="N110" s="7">
        <v>44425</v>
      </c>
      <c r="O110" t="str" cm="1">
        <f t="array" ref="O110">_xlfn.IFS(tbl_loans_clean[[#This Row],[Credit_Score]]&lt;650,"580-649",tbl_loans_clean[[#This Row],[Credit_Score]]&lt;700,"650-699",tbl_loans_clean[[#This Row],[Credit_Score]]&lt;750,"700-749",TRUE,"750+")</f>
        <v>580-649</v>
      </c>
    </row>
    <row r="111" spans="1:15" x14ac:dyDescent="0.35">
      <c r="A111" t="s">
        <v>391</v>
      </c>
      <c r="B111" t="s">
        <v>28</v>
      </c>
      <c r="C111" t="s">
        <v>34</v>
      </c>
      <c r="D111" t="s">
        <v>32</v>
      </c>
      <c r="E111">
        <v>679331</v>
      </c>
      <c r="F111">
        <v>10.68</v>
      </c>
      <c r="G111">
        <v>24</v>
      </c>
      <c r="H111">
        <v>54026</v>
      </c>
      <c r="I111">
        <v>701</v>
      </c>
      <c r="J111" t="s">
        <v>18</v>
      </c>
      <c r="K111">
        <v>14.9</v>
      </c>
      <c r="L111">
        <v>35.6</v>
      </c>
      <c r="M111" t="s">
        <v>23</v>
      </c>
      <c r="N111" s="7">
        <v>44427</v>
      </c>
      <c r="O111" t="str" cm="1">
        <f t="array" ref="O111">_xlfn.IFS(tbl_loans_clean[[#This Row],[Credit_Score]]&lt;650,"580-649",tbl_loans_clean[[#This Row],[Credit_Score]]&lt;700,"650-699",tbl_loans_clean[[#This Row],[Credit_Score]]&lt;750,"700-749",TRUE,"750+")</f>
        <v>700-749</v>
      </c>
    </row>
    <row r="112" spans="1:15" x14ac:dyDescent="0.35">
      <c r="A112" t="s">
        <v>225</v>
      </c>
      <c r="B112" t="s">
        <v>30</v>
      </c>
      <c r="C112" t="s">
        <v>16</v>
      </c>
      <c r="D112" t="s">
        <v>45</v>
      </c>
      <c r="E112">
        <v>277647</v>
      </c>
      <c r="F112">
        <v>10.32</v>
      </c>
      <c r="G112">
        <v>300</v>
      </c>
      <c r="H112">
        <v>28507</v>
      </c>
      <c r="I112">
        <v>766</v>
      </c>
      <c r="J112" t="s">
        <v>18</v>
      </c>
      <c r="K112">
        <v>13.8</v>
      </c>
      <c r="L112">
        <v>32.5</v>
      </c>
      <c r="M112" t="s">
        <v>23</v>
      </c>
      <c r="N112" s="7">
        <v>44428</v>
      </c>
      <c r="O112" t="str" cm="1">
        <f t="array" ref="O112">_xlfn.IFS(tbl_loans_clean[[#This Row],[Credit_Score]]&lt;650,"580-649",tbl_loans_clean[[#This Row],[Credit_Score]]&lt;700,"650-699",tbl_loans_clean[[#This Row],[Credit_Score]]&lt;750,"700-749",TRUE,"750+")</f>
        <v>750+</v>
      </c>
    </row>
    <row r="113" spans="1:15" x14ac:dyDescent="0.35">
      <c r="A113" t="s">
        <v>107</v>
      </c>
      <c r="B113" t="s">
        <v>25</v>
      </c>
      <c r="C113" t="s">
        <v>22</v>
      </c>
      <c r="D113" t="s">
        <v>73</v>
      </c>
      <c r="E113">
        <v>730753</v>
      </c>
      <c r="F113">
        <v>4.3499999999999996</v>
      </c>
      <c r="G113">
        <v>300</v>
      </c>
      <c r="H113">
        <v>213550</v>
      </c>
      <c r="I113">
        <v>603</v>
      </c>
      <c r="J113" t="s">
        <v>26</v>
      </c>
      <c r="K113">
        <v>0.7</v>
      </c>
      <c r="L113">
        <v>30.9</v>
      </c>
      <c r="M113" t="s">
        <v>23</v>
      </c>
      <c r="N113" s="7">
        <v>44429</v>
      </c>
      <c r="O113" t="str" cm="1">
        <f t="array" ref="O113">_xlfn.IFS(tbl_loans_clean[[#This Row],[Credit_Score]]&lt;650,"580-649",tbl_loans_clean[[#This Row],[Credit_Score]]&lt;700,"650-699",tbl_loans_clean[[#This Row],[Credit_Score]]&lt;750,"700-749",TRUE,"750+")</f>
        <v>580-649</v>
      </c>
    </row>
    <row r="114" spans="1:15" x14ac:dyDescent="0.35">
      <c r="A114" t="s">
        <v>452</v>
      </c>
      <c r="B114" t="s">
        <v>30</v>
      </c>
      <c r="C114" t="s">
        <v>22</v>
      </c>
      <c r="D114" t="s">
        <v>17</v>
      </c>
      <c r="E114">
        <v>501013</v>
      </c>
      <c r="F114">
        <v>11.8</v>
      </c>
      <c r="G114">
        <v>24</v>
      </c>
      <c r="H114">
        <v>84759</v>
      </c>
      <c r="I114">
        <v>689</v>
      </c>
      <c r="J114" t="s">
        <v>18</v>
      </c>
      <c r="K114">
        <v>8.6999999999999993</v>
      </c>
      <c r="L114">
        <v>44.6</v>
      </c>
      <c r="M114" t="s">
        <v>19</v>
      </c>
      <c r="N114" s="7">
        <v>44432</v>
      </c>
      <c r="O114" t="str" cm="1">
        <f t="array" ref="O114">_xlfn.IFS(tbl_loans_clean[[#This Row],[Credit_Score]]&lt;650,"580-649",tbl_loans_clean[[#This Row],[Credit_Score]]&lt;700,"650-699",tbl_loans_clean[[#This Row],[Credit_Score]]&lt;750,"700-749",TRUE,"750+")</f>
        <v>650-699</v>
      </c>
    </row>
    <row r="115" spans="1:15" x14ac:dyDescent="0.35">
      <c r="A115" t="s">
        <v>754</v>
      </c>
      <c r="B115" t="s">
        <v>15</v>
      </c>
      <c r="C115" t="s">
        <v>34</v>
      </c>
      <c r="D115" t="s">
        <v>32</v>
      </c>
      <c r="E115">
        <v>270976</v>
      </c>
      <c r="F115">
        <v>12.26</v>
      </c>
      <c r="G115">
        <v>300</v>
      </c>
      <c r="H115">
        <v>115924</v>
      </c>
      <c r="I115">
        <v>596</v>
      </c>
      <c r="J115" t="s">
        <v>18</v>
      </c>
      <c r="K115">
        <v>7.5</v>
      </c>
      <c r="L115">
        <v>34.4</v>
      </c>
      <c r="M115" t="s">
        <v>23</v>
      </c>
      <c r="N115" s="7">
        <v>44432</v>
      </c>
      <c r="O115" t="str" cm="1">
        <f t="array" ref="O115">_xlfn.IFS(tbl_loans_clean[[#This Row],[Credit_Score]]&lt;650,"580-649",tbl_loans_clean[[#This Row],[Credit_Score]]&lt;700,"650-699",tbl_loans_clean[[#This Row],[Credit_Score]]&lt;750,"700-749",TRUE,"750+")</f>
        <v>580-649</v>
      </c>
    </row>
    <row r="116" spans="1:15" x14ac:dyDescent="0.35">
      <c r="A116" t="s">
        <v>365</v>
      </c>
      <c r="B116" t="s">
        <v>30</v>
      </c>
      <c r="C116" t="s">
        <v>34</v>
      </c>
      <c r="D116" t="s">
        <v>17</v>
      </c>
      <c r="E116">
        <v>243038</v>
      </c>
      <c r="F116">
        <v>5.5</v>
      </c>
      <c r="G116">
        <v>120</v>
      </c>
      <c r="H116">
        <v>81051</v>
      </c>
      <c r="I116">
        <v>714</v>
      </c>
      <c r="J116" t="s">
        <v>18</v>
      </c>
      <c r="K116">
        <v>17.7</v>
      </c>
      <c r="L116">
        <v>11.1</v>
      </c>
      <c r="M116" t="s">
        <v>23</v>
      </c>
      <c r="N116" s="7">
        <v>44435</v>
      </c>
      <c r="O116" t="str" cm="1">
        <f t="array" ref="O116">_xlfn.IFS(tbl_loans_clean[[#This Row],[Credit_Score]]&lt;650,"580-649",tbl_loans_clean[[#This Row],[Credit_Score]]&lt;700,"650-699",tbl_loans_clean[[#This Row],[Credit_Score]]&lt;750,"700-749",TRUE,"750+")</f>
        <v>700-749</v>
      </c>
    </row>
    <row r="117" spans="1:15" x14ac:dyDescent="0.35">
      <c r="A117" t="s">
        <v>284</v>
      </c>
      <c r="B117" t="s">
        <v>15</v>
      </c>
      <c r="C117" t="s">
        <v>16</v>
      </c>
      <c r="D117" t="s">
        <v>45</v>
      </c>
      <c r="E117">
        <v>240062</v>
      </c>
      <c r="F117">
        <v>10.1</v>
      </c>
      <c r="G117">
        <v>60</v>
      </c>
      <c r="H117">
        <v>183918</v>
      </c>
      <c r="I117">
        <v>655</v>
      </c>
      <c r="J117" t="s">
        <v>18</v>
      </c>
      <c r="K117">
        <v>3.3</v>
      </c>
      <c r="L117">
        <v>47.1</v>
      </c>
      <c r="M117" t="s">
        <v>55</v>
      </c>
      <c r="N117" s="7">
        <v>44436</v>
      </c>
      <c r="O117" t="str" cm="1">
        <f t="array" ref="O117">_xlfn.IFS(tbl_loans_clean[[#This Row],[Credit_Score]]&lt;650,"580-649",tbl_loans_clean[[#This Row],[Credit_Score]]&lt;700,"650-699",tbl_loans_clean[[#This Row],[Credit_Score]]&lt;750,"700-749",TRUE,"750+")</f>
        <v>650-699</v>
      </c>
    </row>
    <row r="118" spans="1:15" x14ac:dyDescent="0.35">
      <c r="A118" t="s">
        <v>47</v>
      </c>
      <c r="B118" t="s">
        <v>30</v>
      </c>
      <c r="C118" t="s">
        <v>34</v>
      </c>
      <c r="D118" t="s">
        <v>17</v>
      </c>
      <c r="E118">
        <v>184587</v>
      </c>
      <c r="F118">
        <v>14.16</v>
      </c>
      <c r="G118">
        <v>48</v>
      </c>
      <c r="H118">
        <v>123961</v>
      </c>
      <c r="I118">
        <v>736</v>
      </c>
      <c r="J118" t="s">
        <v>18</v>
      </c>
      <c r="K118">
        <v>12.5</v>
      </c>
      <c r="L118">
        <v>32</v>
      </c>
      <c r="M118" t="s">
        <v>48</v>
      </c>
      <c r="N118" s="7">
        <v>44439</v>
      </c>
      <c r="O118" t="str" cm="1">
        <f t="array" ref="O118">_xlfn.IFS(tbl_loans_clean[[#This Row],[Credit_Score]]&lt;650,"580-649",tbl_loans_clean[[#This Row],[Credit_Score]]&lt;700,"650-699",tbl_loans_clean[[#This Row],[Credit_Score]]&lt;750,"700-749",TRUE,"750+")</f>
        <v>700-749</v>
      </c>
    </row>
    <row r="119" spans="1:15" x14ac:dyDescent="0.35">
      <c r="A119" t="s">
        <v>315</v>
      </c>
      <c r="B119" t="s">
        <v>83</v>
      </c>
      <c r="C119" t="s">
        <v>22</v>
      </c>
      <c r="D119" t="s">
        <v>43</v>
      </c>
      <c r="E119">
        <v>51101</v>
      </c>
      <c r="F119">
        <v>9.49</v>
      </c>
      <c r="G119">
        <v>120</v>
      </c>
      <c r="H119">
        <v>99334</v>
      </c>
      <c r="I119">
        <v>791</v>
      </c>
      <c r="J119" t="s">
        <v>26</v>
      </c>
      <c r="K119">
        <v>25</v>
      </c>
      <c r="L119">
        <v>15.8</v>
      </c>
      <c r="M119" t="s">
        <v>23</v>
      </c>
      <c r="N119" s="7">
        <v>44441</v>
      </c>
      <c r="O119" t="str" cm="1">
        <f t="array" ref="O119">_xlfn.IFS(tbl_loans_clean[[#This Row],[Credit_Score]]&lt;650,"580-649",tbl_loans_clean[[#This Row],[Credit_Score]]&lt;700,"650-699",tbl_loans_clean[[#This Row],[Credit_Score]]&lt;750,"700-749",TRUE,"750+")</f>
        <v>750+</v>
      </c>
    </row>
    <row r="120" spans="1:15" x14ac:dyDescent="0.35">
      <c r="A120" t="s">
        <v>585</v>
      </c>
      <c r="B120" t="s">
        <v>28</v>
      </c>
      <c r="C120" t="s">
        <v>16</v>
      </c>
      <c r="D120" t="s">
        <v>17</v>
      </c>
      <c r="E120">
        <v>33328</v>
      </c>
      <c r="F120">
        <v>3.91</v>
      </c>
      <c r="G120">
        <v>240</v>
      </c>
      <c r="H120">
        <v>111434</v>
      </c>
      <c r="I120">
        <v>677</v>
      </c>
      <c r="J120" t="s">
        <v>26</v>
      </c>
      <c r="K120">
        <v>7.1</v>
      </c>
      <c r="L120">
        <v>47.6</v>
      </c>
      <c r="M120" t="s">
        <v>19</v>
      </c>
      <c r="N120" s="7">
        <v>44442</v>
      </c>
      <c r="O120" t="str" cm="1">
        <f t="array" ref="O120">_xlfn.IFS(tbl_loans_clean[[#This Row],[Credit_Score]]&lt;650,"580-649",tbl_loans_clean[[#This Row],[Credit_Score]]&lt;700,"650-699",tbl_loans_clean[[#This Row],[Credit_Score]]&lt;750,"700-749",TRUE,"750+")</f>
        <v>650-699</v>
      </c>
    </row>
    <row r="121" spans="1:15" x14ac:dyDescent="0.35">
      <c r="A121" t="s">
        <v>691</v>
      </c>
      <c r="B121" t="s">
        <v>15</v>
      </c>
      <c r="C121" t="s">
        <v>16</v>
      </c>
      <c r="D121" t="s">
        <v>17</v>
      </c>
      <c r="E121">
        <v>716935</v>
      </c>
      <c r="F121">
        <v>4.18</v>
      </c>
      <c r="G121">
        <v>300</v>
      </c>
      <c r="H121">
        <v>59186</v>
      </c>
      <c r="I121">
        <v>841</v>
      </c>
      <c r="J121" t="s">
        <v>26</v>
      </c>
      <c r="K121">
        <v>5</v>
      </c>
      <c r="L121">
        <v>38</v>
      </c>
      <c r="M121" t="s">
        <v>23</v>
      </c>
      <c r="N121" s="7">
        <v>44443</v>
      </c>
      <c r="O121" t="str" cm="1">
        <f t="array" ref="O121">_xlfn.IFS(tbl_loans_clean[[#This Row],[Credit_Score]]&lt;650,"580-649",tbl_loans_clean[[#This Row],[Credit_Score]]&lt;700,"650-699",tbl_loans_clean[[#This Row],[Credit_Score]]&lt;750,"700-749",TRUE,"750+")</f>
        <v>750+</v>
      </c>
    </row>
    <row r="122" spans="1:15" x14ac:dyDescent="0.35">
      <c r="A122" t="s">
        <v>819</v>
      </c>
      <c r="B122" t="s">
        <v>28</v>
      </c>
      <c r="C122" t="s">
        <v>16</v>
      </c>
      <c r="D122" t="s">
        <v>38</v>
      </c>
      <c r="E122">
        <v>90774</v>
      </c>
      <c r="F122">
        <v>3.83</v>
      </c>
      <c r="G122">
        <v>120</v>
      </c>
      <c r="H122">
        <v>59105</v>
      </c>
      <c r="I122">
        <v>741</v>
      </c>
      <c r="J122" t="s">
        <v>18</v>
      </c>
      <c r="K122">
        <v>3.8</v>
      </c>
      <c r="L122">
        <v>11.8</v>
      </c>
      <c r="M122" t="s">
        <v>19</v>
      </c>
      <c r="N122" s="7">
        <v>44444</v>
      </c>
      <c r="O122" t="str" cm="1">
        <f t="array" ref="O122">_xlfn.IFS(tbl_loans_clean[[#This Row],[Credit_Score]]&lt;650,"580-649",tbl_loans_clean[[#This Row],[Credit_Score]]&lt;700,"650-699",tbl_loans_clean[[#This Row],[Credit_Score]]&lt;750,"700-749",TRUE,"750+")</f>
        <v>700-749</v>
      </c>
    </row>
    <row r="123" spans="1:15" x14ac:dyDescent="0.35">
      <c r="A123" t="s">
        <v>488</v>
      </c>
      <c r="B123" t="s">
        <v>110</v>
      </c>
      <c r="C123" t="s">
        <v>22</v>
      </c>
      <c r="D123" t="s">
        <v>17</v>
      </c>
      <c r="E123">
        <v>66240</v>
      </c>
      <c r="F123">
        <v>3.45</v>
      </c>
      <c r="G123">
        <v>48</v>
      </c>
      <c r="H123">
        <v>56756</v>
      </c>
      <c r="I123">
        <v>808</v>
      </c>
      <c r="J123" t="s">
        <v>39</v>
      </c>
      <c r="K123">
        <v>20.2</v>
      </c>
      <c r="L123">
        <v>16.5</v>
      </c>
      <c r="M123" t="s">
        <v>23</v>
      </c>
      <c r="N123" s="7">
        <v>44446</v>
      </c>
      <c r="O123" t="str" cm="1">
        <f t="array" ref="O123">_xlfn.IFS(tbl_loans_clean[[#This Row],[Credit_Score]]&lt;650,"580-649",tbl_loans_clean[[#This Row],[Credit_Score]]&lt;700,"650-699",tbl_loans_clean[[#This Row],[Credit_Score]]&lt;750,"700-749",TRUE,"750+")</f>
        <v>750+</v>
      </c>
    </row>
    <row r="124" spans="1:15" x14ac:dyDescent="0.35">
      <c r="A124" t="s">
        <v>506</v>
      </c>
      <c r="B124" t="s">
        <v>21</v>
      </c>
      <c r="C124" t="s">
        <v>22</v>
      </c>
      <c r="D124" t="s">
        <v>17</v>
      </c>
      <c r="E124">
        <v>181743</v>
      </c>
      <c r="F124">
        <v>9.76</v>
      </c>
      <c r="G124">
        <v>120</v>
      </c>
      <c r="H124">
        <v>113216</v>
      </c>
      <c r="I124">
        <v>687</v>
      </c>
      <c r="J124" t="s">
        <v>35</v>
      </c>
      <c r="K124">
        <v>2.2000000000000002</v>
      </c>
      <c r="L124">
        <v>19.399999999999999</v>
      </c>
      <c r="M124" t="s">
        <v>55</v>
      </c>
      <c r="N124" s="7">
        <v>44448</v>
      </c>
      <c r="O124" t="str" cm="1">
        <f t="array" ref="O124">_xlfn.IFS(tbl_loans_clean[[#This Row],[Credit_Score]]&lt;650,"580-649",tbl_loans_clean[[#This Row],[Credit_Score]]&lt;700,"650-699",tbl_loans_clean[[#This Row],[Credit_Score]]&lt;750,"700-749",TRUE,"750+")</f>
        <v>650-699</v>
      </c>
    </row>
    <row r="125" spans="1:15" x14ac:dyDescent="0.35">
      <c r="A125" t="s">
        <v>29</v>
      </c>
      <c r="B125" t="s">
        <v>30</v>
      </c>
      <c r="C125" t="s">
        <v>22</v>
      </c>
      <c r="D125" t="s">
        <v>17</v>
      </c>
      <c r="E125">
        <v>289996</v>
      </c>
      <c r="F125">
        <v>7.5</v>
      </c>
      <c r="G125">
        <v>60</v>
      </c>
      <c r="H125">
        <v>92427</v>
      </c>
      <c r="I125">
        <v>684</v>
      </c>
      <c r="J125" t="s">
        <v>18</v>
      </c>
      <c r="K125">
        <v>15.5</v>
      </c>
      <c r="L125">
        <v>40.1</v>
      </c>
      <c r="M125" t="s">
        <v>23</v>
      </c>
      <c r="N125" s="7">
        <v>44449</v>
      </c>
      <c r="O125" t="str" cm="1">
        <f t="array" ref="O125">_xlfn.IFS(tbl_loans_clean[[#This Row],[Credit_Score]]&lt;650,"580-649",tbl_loans_clean[[#This Row],[Credit_Score]]&lt;700,"650-699",tbl_loans_clean[[#This Row],[Credit_Score]]&lt;750,"700-749",TRUE,"750+")</f>
        <v>650-699</v>
      </c>
    </row>
    <row r="126" spans="1:15" x14ac:dyDescent="0.35">
      <c r="A126" t="s">
        <v>706</v>
      </c>
      <c r="B126" t="s">
        <v>30</v>
      </c>
      <c r="C126" t="s">
        <v>34</v>
      </c>
      <c r="D126" t="s">
        <v>45</v>
      </c>
      <c r="E126">
        <v>274956</v>
      </c>
      <c r="F126">
        <v>11.68</v>
      </c>
      <c r="G126">
        <v>24</v>
      </c>
      <c r="H126">
        <v>89957</v>
      </c>
      <c r="I126">
        <v>636</v>
      </c>
      <c r="J126" t="s">
        <v>26</v>
      </c>
      <c r="K126">
        <v>9.5</v>
      </c>
      <c r="L126">
        <v>16.899999999999999</v>
      </c>
      <c r="M126" t="s">
        <v>48</v>
      </c>
      <c r="N126" s="7">
        <v>44449</v>
      </c>
      <c r="O126" t="str" cm="1">
        <f t="array" ref="O126">_xlfn.IFS(tbl_loans_clean[[#This Row],[Credit_Score]]&lt;650,"580-649",tbl_loans_clean[[#This Row],[Credit_Score]]&lt;700,"650-699",tbl_loans_clean[[#This Row],[Credit_Score]]&lt;750,"700-749",TRUE,"750+")</f>
        <v>580-649</v>
      </c>
    </row>
    <row r="127" spans="1:15" x14ac:dyDescent="0.35">
      <c r="A127" t="s">
        <v>326</v>
      </c>
      <c r="B127" t="s">
        <v>15</v>
      </c>
      <c r="C127" t="s">
        <v>34</v>
      </c>
      <c r="D127" t="s">
        <v>17</v>
      </c>
      <c r="E127">
        <v>173785</v>
      </c>
      <c r="F127">
        <v>9.2200000000000006</v>
      </c>
      <c r="G127">
        <v>48</v>
      </c>
      <c r="H127">
        <v>124452</v>
      </c>
      <c r="I127">
        <v>657</v>
      </c>
      <c r="J127" t="s">
        <v>26</v>
      </c>
      <c r="K127">
        <v>16.7</v>
      </c>
      <c r="L127">
        <v>10</v>
      </c>
      <c r="M127" t="s">
        <v>23</v>
      </c>
      <c r="N127" s="7">
        <v>44450</v>
      </c>
      <c r="O127" t="str" cm="1">
        <f t="array" ref="O127">_xlfn.IFS(tbl_loans_clean[[#This Row],[Credit_Score]]&lt;650,"580-649",tbl_loans_clean[[#This Row],[Credit_Score]]&lt;700,"650-699",tbl_loans_clean[[#This Row],[Credit_Score]]&lt;750,"700-749",TRUE,"750+")</f>
        <v>650-699</v>
      </c>
    </row>
    <row r="128" spans="1:15" x14ac:dyDescent="0.35">
      <c r="A128" t="s">
        <v>243</v>
      </c>
      <c r="B128" t="s">
        <v>30</v>
      </c>
      <c r="C128" t="s">
        <v>34</v>
      </c>
      <c r="D128" t="s">
        <v>17</v>
      </c>
      <c r="E128">
        <v>361898</v>
      </c>
      <c r="F128">
        <v>11.84</v>
      </c>
      <c r="G128">
        <v>24</v>
      </c>
      <c r="H128">
        <v>147873</v>
      </c>
      <c r="I128">
        <v>724</v>
      </c>
      <c r="J128" t="s">
        <v>18</v>
      </c>
      <c r="K128">
        <v>22.7</v>
      </c>
      <c r="L128">
        <v>20.8</v>
      </c>
      <c r="M128" t="s">
        <v>55</v>
      </c>
      <c r="N128" s="7">
        <v>44457</v>
      </c>
      <c r="O128" t="str" cm="1">
        <f t="array" ref="O128">_xlfn.IFS(tbl_loans_clean[[#This Row],[Credit_Score]]&lt;650,"580-649",tbl_loans_clean[[#This Row],[Credit_Score]]&lt;700,"650-699",tbl_loans_clean[[#This Row],[Credit_Score]]&lt;750,"700-749",TRUE,"750+")</f>
        <v>700-749</v>
      </c>
    </row>
    <row r="129" spans="1:15" x14ac:dyDescent="0.35">
      <c r="A129" t="s">
        <v>762</v>
      </c>
      <c r="B129" t="s">
        <v>71</v>
      </c>
      <c r="C129" t="s">
        <v>22</v>
      </c>
      <c r="D129" t="s">
        <v>73</v>
      </c>
      <c r="E129">
        <v>43578</v>
      </c>
      <c r="F129">
        <v>13.7</v>
      </c>
      <c r="G129">
        <v>48</v>
      </c>
      <c r="H129">
        <v>176868</v>
      </c>
      <c r="I129">
        <v>793</v>
      </c>
      <c r="J129" t="s">
        <v>18</v>
      </c>
      <c r="K129">
        <v>1.5</v>
      </c>
      <c r="L129">
        <v>18</v>
      </c>
      <c r="M129" t="s">
        <v>23</v>
      </c>
      <c r="N129" s="7">
        <v>44457</v>
      </c>
      <c r="O129" t="str" cm="1">
        <f t="array" ref="O129">_xlfn.IFS(tbl_loans_clean[[#This Row],[Credit_Score]]&lt;650,"580-649",tbl_loans_clean[[#This Row],[Credit_Score]]&lt;700,"650-699",tbl_loans_clean[[#This Row],[Credit_Score]]&lt;750,"700-749",TRUE,"750+")</f>
        <v>750+</v>
      </c>
    </row>
    <row r="130" spans="1:15" x14ac:dyDescent="0.35">
      <c r="A130" t="s">
        <v>49</v>
      </c>
      <c r="B130" t="s">
        <v>30</v>
      </c>
      <c r="C130" t="s">
        <v>34</v>
      </c>
      <c r="D130" t="s">
        <v>17</v>
      </c>
      <c r="E130">
        <v>535032</v>
      </c>
      <c r="F130">
        <v>8.15</v>
      </c>
      <c r="G130">
        <v>240</v>
      </c>
      <c r="H130">
        <v>96111</v>
      </c>
      <c r="I130">
        <v>830</v>
      </c>
      <c r="J130" t="s">
        <v>26</v>
      </c>
      <c r="K130">
        <v>24.5</v>
      </c>
      <c r="L130">
        <v>9.4</v>
      </c>
      <c r="M130" t="s">
        <v>23</v>
      </c>
      <c r="N130" s="7">
        <v>44460</v>
      </c>
      <c r="O130" t="str" cm="1">
        <f t="array" ref="O130">_xlfn.IFS(tbl_loans_clean[[#This Row],[Credit_Score]]&lt;650,"580-649",tbl_loans_clean[[#This Row],[Credit_Score]]&lt;700,"650-699",tbl_loans_clean[[#This Row],[Credit_Score]]&lt;750,"700-749",TRUE,"750+")</f>
        <v>750+</v>
      </c>
    </row>
    <row r="131" spans="1:15" x14ac:dyDescent="0.35">
      <c r="A131" t="s">
        <v>592</v>
      </c>
      <c r="B131" t="s">
        <v>15</v>
      </c>
      <c r="C131" t="s">
        <v>34</v>
      </c>
      <c r="D131" t="s">
        <v>17</v>
      </c>
      <c r="E131">
        <v>534739</v>
      </c>
      <c r="F131">
        <v>4.16</v>
      </c>
      <c r="G131">
        <v>36</v>
      </c>
      <c r="H131">
        <v>120759</v>
      </c>
      <c r="I131">
        <v>805</v>
      </c>
      <c r="J131" t="s">
        <v>39</v>
      </c>
      <c r="K131">
        <v>5.5</v>
      </c>
      <c r="L131">
        <v>31.2</v>
      </c>
      <c r="M131" t="s">
        <v>19</v>
      </c>
      <c r="N131" s="7">
        <v>44460</v>
      </c>
      <c r="O131" t="str" cm="1">
        <f t="array" ref="O131">_xlfn.IFS(tbl_loans_clean[[#This Row],[Credit_Score]]&lt;650,"580-649",tbl_loans_clean[[#This Row],[Credit_Score]]&lt;700,"650-699",tbl_loans_clean[[#This Row],[Credit_Score]]&lt;750,"700-749",TRUE,"750+")</f>
        <v>750+</v>
      </c>
    </row>
    <row r="132" spans="1:15" x14ac:dyDescent="0.35">
      <c r="A132" t="s">
        <v>602</v>
      </c>
      <c r="B132" t="s">
        <v>28</v>
      </c>
      <c r="C132" t="s">
        <v>34</v>
      </c>
      <c r="D132" t="s">
        <v>45</v>
      </c>
      <c r="E132">
        <v>202227</v>
      </c>
      <c r="F132">
        <v>14.2</v>
      </c>
      <c r="G132">
        <v>48</v>
      </c>
      <c r="H132">
        <v>74216</v>
      </c>
      <c r="I132">
        <v>813</v>
      </c>
      <c r="J132" t="s">
        <v>35</v>
      </c>
      <c r="K132">
        <v>0.3</v>
      </c>
      <c r="L132">
        <v>44.1</v>
      </c>
      <c r="M132" t="s">
        <v>23</v>
      </c>
      <c r="N132" s="7">
        <v>44460</v>
      </c>
      <c r="O132" t="str" cm="1">
        <f t="array" ref="O132">_xlfn.IFS(tbl_loans_clean[[#This Row],[Credit_Score]]&lt;650,"580-649",tbl_loans_clean[[#This Row],[Credit_Score]]&lt;700,"650-699",tbl_loans_clean[[#This Row],[Credit_Score]]&lt;750,"700-749",TRUE,"750+")</f>
        <v>750+</v>
      </c>
    </row>
    <row r="133" spans="1:15" x14ac:dyDescent="0.35">
      <c r="A133" t="s">
        <v>596</v>
      </c>
      <c r="B133" t="s">
        <v>37</v>
      </c>
      <c r="C133" t="s">
        <v>22</v>
      </c>
      <c r="D133" t="s">
        <v>17</v>
      </c>
      <c r="E133">
        <v>363710</v>
      </c>
      <c r="F133">
        <v>5.79</v>
      </c>
      <c r="G133">
        <v>24</v>
      </c>
      <c r="H133">
        <v>208702</v>
      </c>
      <c r="I133">
        <v>786</v>
      </c>
      <c r="J133" t="s">
        <v>18</v>
      </c>
      <c r="K133">
        <v>18.5</v>
      </c>
      <c r="L133">
        <v>15.5</v>
      </c>
      <c r="M133" t="s">
        <v>23</v>
      </c>
      <c r="N133" s="7">
        <v>44461</v>
      </c>
      <c r="O133" t="str" cm="1">
        <f t="array" ref="O133">_xlfn.IFS(tbl_loans_clean[[#This Row],[Credit_Score]]&lt;650,"580-649",tbl_loans_clean[[#This Row],[Credit_Score]]&lt;700,"650-699",tbl_loans_clean[[#This Row],[Credit_Score]]&lt;750,"700-749",TRUE,"750+")</f>
        <v>750+</v>
      </c>
    </row>
    <row r="134" spans="1:15" x14ac:dyDescent="0.35">
      <c r="A134" t="s">
        <v>553</v>
      </c>
      <c r="B134" t="s">
        <v>15</v>
      </c>
      <c r="C134" t="s">
        <v>34</v>
      </c>
      <c r="D134" t="s">
        <v>17</v>
      </c>
      <c r="E134">
        <v>375416</v>
      </c>
      <c r="F134">
        <v>9.26</v>
      </c>
      <c r="G134">
        <v>48</v>
      </c>
      <c r="H134">
        <v>153629</v>
      </c>
      <c r="I134">
        <v>588</v>
      </c>
      <c r="J134" t="s">
        <v>26</v>
      </c>
      <c r="K134">
        <v>7.1</v>
      </c>
      <c r="L134">
        <v>36.799999999999997</v>
      </c>
      <c r="M134" t="s">
        <v>23</v>
      </c>
      <c r="N134" s="7">
        <v>44465</v>
      </c>
      <c r="O134" t="str" cm="1">
        <f t="array" ref="O134">_xlfn.IFS(tbl_loans_clean[[#This Row],[Credit_Score]]&lt;650,"580-649",tbl_loans_clean[[#This Row],[Credit_Score]]&lt;700,"650-699",tbl_loans_clean[[#This Row],[Credit_Score]]&lt;750,"700-749",TRUE,"750+")</f>
        <v>580-649</v>
      </c>
    </row>
    <row r="135" spans="1:15" x14ac:dyDescent="0.35">
      <c r="A135" t="s">
        <v>226</v>
      </c>
      <c r="B135" t="s">
        <v>28</v>
      </c>
      <c r="C135" t="s">
        <v>22</v>
      </c>
      <c r="D135" t="s">
        <v>73</v>
      </c>
      <c r="E135">
        <v>89761</v>
      </c>
      <c r="F135">
        <v>6.01</v>
      </c>
      <c r="G135">
        <v>24</v>
      </c>
      <c r="H135">
        <v>186223</v>
      </c>
      <c r="I135">
        <v>709</v>
      </c>
      <c r="J135" t="s">
        <v>39</v>
      </c>
      <c r="K135">
        <v>2.9</v>
      </c>
      <c r="L135">
        <v>42.8</v>
      </c>
      <c r="M135" t="s">
        <v>55</v>
      </c>
      <c r="N135" s="7">
        <v>44466</v>
      </c>
      <c r="O135" t="str" cm="1">
        <f t="array" ref="O135">_xlfn.IFS(tbl_loans_clean[[#This Row],[Credit_Score]]&lt;650,"580-649",tbl_loans_clean[[#This Row],[Credit_Score]]&lt;700,"650-699",tbl_loans_clean[[#This Row],[Credit_Score]]&lt;750,"700-749",TRUE,"750+")</f>
        <v>700-749</v>
      </c>
    </row>
    <row r="136" spans="1:15" x14ac:dyDescent="0.35">
      <c r="A136" t="s">
        <v>414</v>
      </c>
      <c r="B136" t="s">
        <v>30</v>
      </c>
      <c r="C136" t="s">
        <v>16</v>
      </c>
      <c r="D136" t="s">
        <v>17</v>
      </c>
      <c r="E136">
        <v>132927</v>
      </c>
      <c r="F136">
        <v>9.9499999999999993</v>
      </c>
      <c r="G136">
        <v>60</v>
      </c>
      <c r="H136">
        <v>35235</v>
      </c>
      <c r="I136">
        <v>718</v>
      </c>
      <c r="J136" t="s">
        <v>18</v>
      </c>
      <c r="K136">
        <v>20.5</v>
      </c>
      <c r="L136">
        <v>26.8</v>
      </c>
      <c r="M136" t="s">
        <v>23</v>
      </c>
      <c r="N136" s="7">
        <v>44466</v>
      </c>
      <c r="O136" t="str" cm="1">
        <f t="array" ref="O136">_xlfn.IFS(tbl_loans_clean[[#This Row],[Credit_Score]]&lt;650,"580-649",tbl_loans_clean[[#This Row],[Credit_Score]]&lt;700,"650-699",tbl_loans_clean[[#This Row],[Credit_Score]]&lt;750,"700-749",TRUE,"750+")</f>
        <v>700-749</v>
      </c>
    </row>
    <row r="137" spans="1:15" x14ac:dyDescent="0.35">
      <c r="A137" t="s">
        <v>42</v>
      </c>
      <c r="B137" t="s">
        <v>30</v>
      </c>
      <c r="C137" t="s">
        <v>34</v>
      </c>
      <c r="D137" t="s">
        <v>43</v>
      </c>
      <c r="E137">
        <v>512365</v>
      </c>
      <c r="F137">
        <v>12.68</v>
      </c>
      <c r="G137">
        <v>12</v>
      </c>
      <c r="H137">
        <v>32042</v>
      </c>
      <c r="I137">
        <v>679</v>
      </c>
      <c r="J137" t="s">
        <v>18</v>
      </c>
      <c r="K137">
        <v>3.9</v>
      </c>
      <c r="L137">
        <v>35.1</v>
      </c>
      <c r="M137" t="s">
        <v>23</v>
      </c>
      <c r="N137" s="7">
        <v>44471</v>
      </c>
      <c r="O137" t="str" cm="1">
        <f t="array" ref="O137">_xlfn.IFS(tbl_loans_clean[[#This Row],[Credit_Score]]&lt;650,"580-649",tbl_loans_clean[[#This Row],[Credit_Score]]&lt;700,"650-699",tbl_loans_clean[[#This Row],[Credit_Score]]&lt;750,"700-749",TRUE,"750+")</f>
        <v>650-699</v>
      </c>
    </row>
    <row r="138" spans="1:15" x14ac:dyDescent="0.35">
      <c r="A138" t="s">
        <v>769</v>
      </c>
      <c r="B138" t="s">
        <v>25</v>
      </c>
      <c r="C138" t="s">
        <v>22</v>
      </c>
      <c r="D138" t="s">
        <v>17</v>
      </c>
      <c r="E138">
        <v>50475</v>
      </c>
      <c r="F138">
        <v>5.85</v>
      </c>
      <c r="G138">
        <v>60</v>
      </c>
      <c r="H138">
        <v>62159</v>
      </c>
      <c r="I138">
        <v>589</v>
      </c>
      <c r="J138" t="s">
        <v>18</v>
      </c>
      <c r="K138">
        <v>1</v>
      </c>
      <c r="L138">
        <v>28.7</v>
      </c>
      <c r="M138" t="s">
        <v>23</v>
      </c>
      <c r="N138" s="7">
        <v>44471</v>
      </c>
      <c r="O138" t="str" cm="1">
        <f t="array" ref="O138">_xlfn.IFS(tbl_loans_clean[[#This Row],[Credit_Score]]&lt;650,"580-649",tbl_loans_clean[[#This Row],[Credit_Score]]&lt;700,"650-699",tbl_loans_clean[[#This Row],[Credit_Score]]&lt;750,"700-749",TRUE,"750+")</f>
        <v>580-649</v>
      </c>
    </row>
    <row r="139" spans="1:15" x14ac:dyDescent="0.35">
      <c r="A139" t="s">
        <v>410</v>
      </c>
      <c r="B139" t="s">
        <v>30</v>
      </c>
      <c r="C139" t="s">
        <v>22</v>
      </c>
      <c r="D139" t="s">
        <v>17</v>
      </c>
      <c r="E139">
        <v>550096</v>
      </c>
      <c r="F139">
        <v>13.26</v>
      </c>
      <c r="G139">
        <v>36</v>
      </c>
      <c r="H139">
        <v>108863</v>
      </c>
      <c r="I139">
        <v>719</v>
      </c>
      <c r="J139" t="s">
        <v>39</v>
      </c>
      <c r="K139">
        <v>2.8</v>
      </c>
      <c r="L139">
        <v>15.8</v>
      </c>
      <c r="M139" t="s">
        <v>55</v>
      </c>
      <c r="N139" s="7">
        <v>44478</v>
      </c>
      <c r="O139" t="str" cm="1">
        <f t="array" ref="O139">_xlfn.IFS(tbl_loans_clean[[#This Row],[Credit_Score]]&lt;650,"580-649",tbl_loans_clean[[#This Row],[Credit_Score]]&lt;700,"650-699",tbl_loans_clean[[#This Row],[Credit_Score]]&lt;750,"700-749",TRUE,"750+")</f>
        <v>700-749</v>
      </c>
    </row>
    <row r="140" spans="1:15" x14ac:dyDescent="0.35">
      <c r="A140" t="s">
        <v>186</v>
      </c>
      <c r="B140" t="s">
        <v>30</v>
      </c>
      <c r="C140" t="s">
        <v>22</v>
      </c>
      <c r="D140" t="s">
        <v>32</v>
      </c>
      <c r="E140">
        <v>188043</v>
      </c>
      <c r="F140">
        <v>5.93</v>
      </c>
      <c r="G140">
        <v>24</v>
      </c>
      <c r="H140">
        <v>184153</v>
      </c>
      <c r="I140">
        <v>676</v>
      </c>
      <c r="J140" t="s">
        <v>26</v>
      </c>
      <c r="K140">
        <v>8.1999999999999993</v>
      </c>
      <c r="L140">
        <v>38.6</v>
      </c>
      <c r="M140" t="s">
        <v>23</v>
      </c>
      <c r="N140" s="7">
        <v>44480</v>
      </c>
      <c r="O140" t="str" cm="1">
        <f t="array" ref="O140">_xlfn.IFS(tbl_loans_clean[[#This Row],[Credit_Score]]&lt;650,"580-649",tbl_loans_clean[[#This Row],[Credit_Score]]&lt;700,"650-699",tbl_loans_clean[[#This Row],[Credit_Score]]&lt;750,"700-749",TRUE,"750+")</f>
        <v>650-699</v>
      </c>
    </row>
    <row r="141" spans="1:15" x14ac:dyDescent="0.35">
      <c r="A141" t="s">
        <v>142</v>
      </c>
      <c r="B141" t="s">
        <v>28</v>
      </c>
      <c r="C141" t="s">
        <v>22</v>
      </c>
      <c r="D141" t="s">
        <v>32</v>
      </c>
      <c r="E141">
        <v>137212</v>
      </c>
      <c r="F141">
        <v>14.1</v>
      </c>
      <c r="G141">
        <v>24</v>
      </c>
      <c r="H141">
        <v>43989</v>
      </c>
      <c r="I141">
        <v>602</v>
      </c>
      <c r="J141" t="s">
        <v>18</v>
      </c>
      <c r="K141">
        <v>14.2</v>
      </c>
      <c r="L141">
        <v>43.6</v>
      </c>
      <c r="M141" t="s">
        <v>23</v>
      </c>
      <c r="N141" s="7">
        <v>44482</v>
      </c>
      <c r="O141" t="str" cm="1">
        <f t="array" ref="O141">_xlfn.IFS(tbl_loans_clean[[#This Row],[Credit_Score]]&lt;650,"580-649",tbl_loans_clean[[#This Row],[Credit_Score]]&lt;700,"650-699",tbl_loans_clean[[#This Row],[Credit_Score]]&lt;750,"700-749",TRUE,"750+")</f>
        <v>580-649</v>
      </c>
    </row>
    <row r="142" spans="1:15" x14ac:dyDescent="0.35">
      <c r="A142" t="s">
        <v>278</v>
      </c>
      <c r="B142" t="s">
        <v>30</v>
      </c>
      <c r="C142" t="s">
        <v>16</v>
      </c>
      <c r="D142" t="s">
        <v>17</v>
      </c>
      <c r="E142">
        <v>539638</v>
      </c>
      <c r="F142">
        <v>12.9</v>
      </c>
      <c r="G142">
        <v>240</v>
      </c>
      <c r="H142">
        <v>77556</v>
      </c>
      <c r="I142">
        <v>733</v>
      </c>
      <c r="J142" t="s">
        <v>26</v>
      </c>
      <c r="K142">
        <v>17.899999999999999</v>
      </c>
      <c r="L142">
        <v>41.7</v>
      </c>
      <c r="M142" t="s">
        <v>55</v>
      </c>
      <c r="N142" s="7">
        <v>44485</v>
      </c>
      <c r="O142" t="str" cm="1">
        <f t="array" ref="O142">_xlfn.IFS(tbl_loans_clean[[#This Row],[Credit_Score]]&lt;650,"580-649",tbl_loans_clean[[#This Row],[Credit_Score]]&lt;700,"650-699",tbl_loans_clean[[#This Row],[Credit_Score]]&lt;750,"700-749",TRUE,"750+")</f>
        <v>700-749</v>
      </c>
    </row>
    <row r="143" spans="1:15" x14ac:dyDescent="0.35">
      <c r="A143" t="s">
        <v>632</v>
      </c>
      <c r="B143" t="s">
        <v>30</v>
      </c>
      <c r="C143" t="s">
        <v>22</v>
      </c>
      <c r="D143" t="s">
        <v>17</v>
      </c>
      <c r="E143">
        <v>684892</v>
      </c>
      <c r="F143">
        <v>6.29</v>
      </c>
      <c r="G143">
        <v>48</v>
      </c>
      <c r="H143">
        <v>208108</v>
      </c>
      <c r="I143">
        <v>693</v>
      </c>
      <c r="J143" t="s">
        <v>18</v>
      </c>
      <c r="K143">
        <v>3</v>
      </c>
      <c r="L143">
        <v>25.5</v>
      </c>
      <c r="M143" t="s">
        <v>19</v>
      </c>
      <c r="N143" s="7">
        <v>44486</v>
      </c>
      <c r="O143" t="str" cm="1">
        <f t="array" ref="O143">_xlfn.IFS(tbl_loans_clean[[#This Row],[Credit_Score]]&lt;650,"580-649",tbl_loans_clean[[#This Row],[Credit_Score]]&lt;700,"650-699",tbl_loans_clean[[#This Row],[Credit_Score]]&lt;750,"700-749",TRUE,"750+")</f>
        <v>650-699</v>
      </c>
    </row>
    <row r="144" spans="1:15" x14ac:dyDescent="0.35">
      <c r="A144" t="s">
        <v>639</v>
      </c>
      <c r="B144" t="s">
        <v>30</v>
      </c>
      <c r="C144" t="s">
        <v>22</v>
      </c>
      <c r="D144" t="s">
        <v>43</v>
      </c>
      <c r="E144">
        <v>735031</v>
      </c>
      <c r="F144">
        <v>7.93</v>
      </c>
      <c r="G144">
        <v>48</v>
      </c>
      <c r="H144">
        <v>60966</v>
      </c>
      <c r="I144">
        <v>825</v>
      </c>
      <c r="J144" t="s">
        <v>39</v>
      </c>
      <c r="K144">
        <v>1.8</v>
      </c>
      <c r="L144">
        <v>31.7</v>
      </c>
      <c r="M144" t="s">
        <v>19</v>
      </c>
      <c r="N144" s="7">
        <v>44486</v>
      </c>
      <c r="O144" t="str" cm="1">
        <f t="array" ref="O144">_xlfn.IFS(tbl_loans_clean[[#This Row],[Credit_Score]]&lt;650,"580-649",tbl_loans_clean[[#This Row],[Credit_Score]]&lt;700,"650-699",tbl_loans_clean[[#This Row],[Credit_Score]]&lt;750,"700-749",TRUE,"750+")</f>
        <v>750+</v>
      </c>
    </row>
    <row r="145" spans="1:15" x14ac:dyDescent="0.35">
      <c r="A145" t="s">
        <v>428</v>
      </c>
      <c r="B145" t="s">
        <v>30</v>
      </c>
      <c r="C145" t="s">
        <v>16</v>
      </c>
      <c r="D145" t="s">
        <v>38</v>
      </c>
      <c r="E145">
        <v>250739</v>
      </c>
      <c r="F145">
        <v>13.46</v>
      </c>
      <c r="G145">
        <v>36</v>
      </c>
      <c r="H145">
        <v>151246</v>
      </c>
      <c r="I145">
        <v>599</v>
      </c>
      <c r="J145" t="s">
        <v>18</v>
      </c>
      <c r="K145">
        <v>2.1</v>
      </c>
      <c r="L145">
        <v>19.2</v>
      </c>
      <c r="M145" t="s">
        <v>19</v>
      </c>
      <c r="N145" s="7">
        <v>44489</v>
      </c>
      <c r="O145" t="str" cm="1">
        <f t="array" ref="O145">_xlfn.IFS(tbl_loans_clean[[#This Row],[Credit_Score]]&lt;650,"580-649",tbl_loans_clean[[#This Row],[Credit_Score]]&lt;700,"650-699",tbl_loans_clean[[#This Row],[Credit_Score]]&lt;750,"700-749",TRUE,"750+")</f>
        <v>580-649</v>
      </c>
    </row>
    <row r="146" spans="1:15" x14ac:dyDescent="0.35">
      <c r="A146" t="s">
        <v>474</v>
      </c>
      <c r="B146" t="s">
        <v>28</v>
      </c>
      <c r="C146" t="s">
        <v>22</v>
      </c>
      <c r="D146" t="s">
        <v>32</v>
      </c>
      <c r="E146">
        <v>692605</v>
      </c>
      <c r="F146">
        <v>6.01</v>
      </c>
      <c r="G146">
        <v>60</v>
      </c>
      <c r="H146">
        <v>111286</v>
      </c>
      <c r="I146">
        <v>651</v>
      </c>
      <c r="J146" t="s">
        <v>18</v>
      </c>
      <c r="K146">
        <v>17.399999999999999</v>
      </c>
      <c r="L146">
        <v>24.1</v>
      </c>
      <c r="M146" t="s">
        <v>19</v>
      </c>
      <c r="N146" s="7">
        <v>44489</v>
      </c>
      <c r="O146" t="str" cm="1">
        <f t="array" ref="O146">_xlfn.IFS(tbl_loans_clean[[#This Row],[Credit_Score]]&lt;650,"580-649",tbl_loans_clean[[#This Row],[Credit_Score]]&lt;700,"650-699",tbl_loans_clean[[#This Row],[Credit_Score]]&lt;750,"700-749",TRUE,"750+")</f>
        <v>650-699</v>
      </c>
    </row>
    <row r="147" spans="1:15" x14ac:dyDescent="0.35">
      <c r="A147" t="s">
        <v>443</v>
      </c>
      <c r="B147" t="s">
        <v>83</v>
      </c>
      <c r="C147" t="s">
        <v>22</v>
      </c>
      <c r="D147" t="s">
        <v>17</v>
      </c>
      <c r="E147">
        <v>67507</v>
      </c>
      <c r="F147">
        <v>6.25</v>
      </c>
      <c r="G147">
        <v>240</v>
      </c>
      <c r="H147">
        <v>198733</v>
      </c>
      <c r="I147">
        <v>779</v>
      </c>
      <c r="J147" t="s">
        <v>39</v>
      </c>
      <c r="K147">
        <v>4.5</v>
      </c>
      <c r="L147">
        <v>32.200000000000003</v>
      </c>
      <c r="M147" t="s">
        <v>19</v>
      </c>
      <c r="N147" s="7">
        <v>44490</v>
      </c>
      <c r="O147" t="str" cm="1">
        <f t="array" ref="O147">_xlfn.IFS(tbl_loans_clean[[#This Row],[Credit_Score]]&lt;650,"580-649",tbl_loans_clean[[#This Row],[Credit_Score]]&lt;700,"650-699",tbl_loans_clean[[#This Row],[Credit_Score]]&lt;750,"700-749",TRUE,"750+")</f>
        <v>750+</v>
      </c>
    </row>
    <row r="148" spans="1:15" x14ac:dyDescent="0.35">
      <c r="A148" t="s">
        <v>91</v>
      </c>
      <c r="B148" t="s">
        <v>25</v>
      </c>
      <c r="C148" t="s">
        <v>16</v>
      </c>
      <c r="D148" t="s">
        <v>17</v>
      </c>
      <c r="E148">
        <v>639947</v>
      </c>
      <c r="F148">
        <v>7.77</v>
      </c>
      <c r="G148">
        <v>36</v>
      </c>
      <c r="H148">
        <v>30035</v>
      </c>
      <c r="I148">
        <v>685</v>
      </c>
      <c r="J148" t="s">
        <v>18</v>
      </c>
      <c r="K148">
        <v>19.399999999999999</v>
      </c>
      <c r="L148">
        <v>32.5</v>
      </c>
      <c r="M148" t="s">
        <v>55</v>
      </c>
      <c r="N148" s="7">
        <v>44492</v>
      </c>
      <c r="O148" t="str" cm="1">
        <f t="array" ref="O148">_xlfn.IFS(tbl_loans_clean[[#This Row],[Credit_Score]]&lt;650,"580-649",tbl_loans_clean[[#This Row],[Credit_Score]]&lt;700,"650-699",tbl_loans_clean[[#This Row],[Credit_Score]]&lt;750,"700-749",TRUE,"750+")</f>
        <v>650-699</v>
      </c>
    </row>
    <row r="149" spans="1:15" x14ac:dyDescent="0.35">
      <c r="A149" t="s">
        <v>702</v>
      </c>
      <c r="B149" t="s">
        <v>30</v>
      </c>
      <c r="C149" t="s">
        <v>22</v>
      </c>
      <c r="D149" t="s">
        <v>38</v>
      </c>
      <c r="E149">
        <v>740430</v>
      </c>
      <c r="F149">
        <v>3.21</v>
      </c>
      <c r="G149">
        <v>12</v>
      </c>
      <c r="H149">
        <v>192870</v>
      </c>
      <c r="I149">
        <v>584</v>
      </c>
      <c r="J149" t="s">
        <v>39</v>
      </c>
      <c r="K149">
        <v>5</v>
      </c>
      <c r="L149">
        <v>17.5</v>
      </c>
      <c r="M149" t="s">
        <v>19</v>
      </c>
      <c r="N149" s="7">
        <v>44496</v>
      </c>
      <c r="O149" t="str" cm="1">
        <f t="array" ref="O149">_xlfn.IFS(tbl_loans_clean[[#This Row],[Credit_Score]]&lt;650,"580-649",tbl_loans_clean[[#This Row],[Credit_Score]]&lt;700,"650-699",tbl_loans_clean[[#This Row],[Credit_Score]]&lt;750,"700-749",TRUE,"750+")</f>
        <v>580-649</v>
      </c>
    </row>
    <row r="150" spans="1:15" x14ac:dyDescent="0.35">
      <c r="A150" t="s">
        <v>169</v>
      </c>
      <c r="B150" t="s">
        <v>30</v>
      </c>
      <c r="C150" t="s">
        <v>16</v>
      </c>
      <c r="D150" t="s">
        <v>38</v>
      </c>
      <c r="E150">
        <v>288022</v>
      </c>
      <c r="F150">
        <v>5.33</v>
      </c>
      <c r="G150">
        <v>240</v>
      </c>
      <c r="H150">
        <v>88354</v>
      </c>
      <c r="I150">
        <v>688</v>
      </c>
      <c r="J150" t="s">
        <v>18</v>
      </c>
      <c r="K150">
        <v>15</v>
      </c>
      <c r="L150">
        <v>17.3</v>
      </c>
      <c r="M150" t="s">
        <v>23</v>
      </c>
      <c r="N150" s="7">
        <v>44498</v>
      </c>
      <c r="O150" t="str" cm="1">
        <f t="array" ref="O150">_xlfn.IFS(tbl_loans_clean[[#This Row],[Credit_Score]]&lt;650,"580-649",tbl_loans_clean[[#This Row],[Credit_Score]]&lt;700,"650-699",tbl_loans_clean[[#This Row],[Credit_Score]]&lt;750,"700-749",TRUE,"750+")</f>
        <v>650-699</v>
      </c>
    </row>
    <row r="151" spans="1:15" x14ac:dyDescent="0.35">
      <c r="A151" t="s">
        <v>367</v>
      </c>
      <c r="B151" t="s">
        <v>25</v>
      </c>
      <c r="C151" t="s">
        <v>16</v>
      </c>
      <c r="D151" t="s">
        <v>17</v>
      </c>
      <c r="E151">
        <v>621410</v>
      </c>
      <c r="F151">
        <v>13.11</v>
      </c>
      <c r="G151">
        <v>24</v>
      </c>
      <c r="H151">
        <v>93524</v>
      </c>
      <c r="I151">
        <v>590</v>
      </c>
      <c r="J151" t="s">
        <v>18</v>
      </c>
      <c r="K151">
        <v>6.8</v>
      </c>
      <c r="L151">
        <v>24.1</v>
      </c>
      <c r="M151" t="s">
        <v>19</v>
      </c>
      <c r="N151" s="7">
        <v>44499</v>
      </c>
      <c r="O151" t="str" cm="1">
        <f t="array" ref="O151">_xlfn.IFS(tbl_loans_clean[[#This Row],[Credit_Score]]&lt;650,"580-649",tbl_loans_clean[[#This Row],[Credit_Score]]&lt;700,"650-699",tbl_loans_clean[[#This Row],[Credit_Score]]&lt;750,"700-749",TRUE,"750+")</f>
        <v>580-649</v>
      </c>
    </row>
    <row r="152" spans="1:15" x14ac:dyDescent="0.35">
      <c r="A152" t="s">
        <v>792</v>
      </c>
      <c r="B152" t="s">
        <v>30</v>
      </c>
      <c r="C152" t="s">
        <v>34</v>
      </c>
      <c r="D152" t="s">
        <v>45</v>
      </c>
      <c r="E152">
        <v>324759</v>
      </c>
      <c r="F152">
        <v>7.04</v>
      </c>
      <c r="G152">
        <v>300</v>
      </c>
      <c r="H152">
        <v>134337</v>
      </c>
      <c r="I152">
        <v>746</v>
      </c>
      <c r="J152" t="s">
        <v>39</v>
      </c>
      <c r="K152">
        <v>20.8</v>
      </c>
      <c r="L152">
        <v>47.5</v>
      </c>
      <c r="M152" t="s">
        <v>55</v>
      </c>
      <c r="N152" s="7">
        <v>44503</v>
      </c>
      <c r="O152" t="str" cm="1">
        <f t="array" ref="O152">_xlfn.IFS(tbl_loans_clean[[#This Row],[Credit_Score]]&lt;650,"580-649",tbl_loans_clean[[#This Row],[Credit_Score]]&lt;700,"650-699",tbl_loans_clean[[#This Row],[Credit_Score]]&lt;750,"700-749",TRUE,"750+")</f>
        <v>700-749</v>
      </c>
    </row>
    <row r="153" spans="1:15" x14ac:dyDescent="0.35">
      <c r="A153" t="s">
        <v>724</v>
      </c>
      <c r="B153" t="s">
        <v>30</v>
      </c>
      <c r="C153" t="s">
        <v>16</v>
      </c>
      <c r="D153" t="s">
        <v>32</v>
      </c>
      <c r="E153">
        <v>491904</v>
      </c>
      <c r="F153">
        <v>9.9499999999999993</v>
      </c>
      <c r="G153">
        <v>60</v>
      </c>
      <c r="H153">
        <v>82460</v>
      </c>
      <c r="I153">
        <v>790</v>
      </c>
      <c r="J153" t="s">
        <v>18</v>
      </c>
      <c r="K153">
        <v>23.7</v>
      </c>
      <c r="L153">
        <v>11.5</v>
      </c>
      <c r="M153" t="s">
        <v>19</v>
      </c>
      <c r="N153" s="7">
        <v>44504</v>
      </c>
      <c r="O153" t="str" cm="1">
        <f t="array" ref="O153">_xlfn.IFS(tbl_loans_clean[[#This Row],[Credit_Score]]&lt;650,"580-649",tbl_loans_clean[[#This Row],[Credit_Score]]&lt;700,"650-699",tbl_loans_clean[[#This Row],[Credit_Score]]&lt;750,"700-749",TRUE,"750+")</f>
        <v>750+</v>
      </c>
    </row>
    <row r="154" spans="1:15" x14ac:dyDescent="0.35">
      <c r="A154" t="s">
        <v>240</v>
      </c>
      <c r="B154" t="s">
        <v>25</v>
      </c>
      <c r="C154" t="s">
        <v>22</v>
      </c>
      <c r="D154" t="s">
        <v>17</v>
      </c>
      <c r="E154">
        <v>439376</v>
      </c>
      <c r="F154">
        <v>8.75</v>
      </c>
      <c r="G154">
        <v>48</v>
      </c>
      <c r="H154">
        <v>141181</v>
      </c>
      <c r="I154">
        <v>620</v>
      </c>
      <c r="J154" t="s">
        <v>26</v>
      </c>
      <c r="K154">
        <v>24.9</v>
      </c>
      <c r="L154">
        <v>44.6</v>
      </c>
      <c r="M154" t="s">
        <v>23</v>
      </c>
      <c r="N154" s="7">
        <v>44505</v>
      </c>
      <c r="O154" t="str" cm="1">
        <f t="array" ref="O154">_xlfn.IFS(tbl_loans_clean[[#This Row],[Credit_Score]]&lt;650,"580-649",tbl_loans_clean[[#This Row],[Credit_Score]]&lt;700,"650-699",tbl_loans_clean[[#This Row],[Credit_Score]]&lt;750,"700-749",TRUE,"750+")</f>
        <v>580-649</v>
      </c>
    </row>
    <row r="155" spans="1:15" x14ac:dyDescent="0.35">
      <c r="A155" t="s">
        <v>308</v>
      </c>
      <c r="B155" t="s">
        <v>28</v>
      </c>
      <c r="C155" t="s">
        <v>22</v>
      </c>
      <c r="D155" t="s">
        <v>17</v>
      </c>
      <c r="E155">
        <v>5159</v>
      </c>
      <c r="F155">
        <v>5.97</v>
      </c>
      <c r="G155">
        <v>24</v>
      </c>
      <c r="H155">
        <v>211320</v>
      </c>
      <c r="I155">
        <v>812</v>
      </c>
      <c r="J155" t="s">
        <v>18</v>
      </c>
      <c r="K155">
        <v>24.5</v>
      </c>
      <c r="L155">
        <v>25.7</v>
      </c>
      <c r="M155" t="s">
        <v>23</v>
      </c>
      <c r="N155" s="7">
        <v>44514</v>
      </c>
      <c r="O155" t="str" cm="1">
        <f t="array" ref="O155">_xlfn.IFS(tbl_loans_clean[[#This Row],[Credit_Score]]&lt;650,"580-649",tbl_loans_clean[[#This Row],[Credit_Score]]&lt;700,"650-699",tbl_loans_clean[[#This Row],[Credit_Score]]&lt;750,"700-749",TRUE,"750+")</f>
        <v>750+</v>
      </c>
    </row>
    <row r="156" spans="1:15" x14ac:dyDescent="0.35">
      <c r="A156" t="s">
        <v>527</v>
      </c>
      <c r="B156" t="s">
        <v>83</v>
      </c>
      <c r="C156" t="s">
        <v>16</v>
      </c>
      <c r="D156" t="s">
        <v>32</v>
      </c>
      <c r="E156">
        <v>637336</v>
      </c>
      <c r="F156">
        <v>10.83</v>
      </c>
      <c r="G156">
        <v>24</v>
      </c>
      <c r="H156">
        <v>107436</v>
      </c>
      <c r="I156">
        <v>619</v>
      </c>
      <c r="J156" t="s">
        <v>18</v>
      </c>
      <c r="K156">
        <v>0.1</v>
      </c>
      <c r="L156">
        <v>22</v>
      </c>
      <c r="M156" t="s">
        <v>23</v>
      </c>
      <c r="N156" s="7">
        <v>44515</v>
      </c>
      <c r="O156" t="str" cm="1">
        <f t="array" ref="O156">_xlfn.IFS(tbl_loans_clean[[#This Row],[Credit_Score]]&lt;650,"580-649",tbl_loans_clean[[#This Row],[Credit_Score]]&lt;700,"650-699",tbl_loans_clean[[#This Row],[Credit_Score]]&lt;750,"700-749",TRUE,"750+")</f>
        <v>580-649</v>
      </c>
    </row>
    <row r="157" spans="1:15" x14ac:dyDescent="0.35">
      <c r="A157" t="s">
        <v>385</v>
      </c>
      <c r="B157" t="s">
        <v>15</v>
      </c>
      <c r="C157" t="s">
        <v>16</v>
      </c>
      <c r="D157" t="s">
        <v>38</v>
      </c>
      <c r="E157">
        <v>461331</v>
      </c>
      <c r="F157">
        <v>8.4499999999999993</v>
      </c>
      <c r="G157">
        <v>24</v>
      </c>
      <c r="H157">
        <v>217933</v>
      </c>
      <c r="I157">
        <v>719</v>
      </c>
      <c r="J157" t="s">
        <v>26</v>
      </c>
      <c r="K157">
        <v>6.8</v>
      </c>
      <c r="L157">
        <v>10.5</v>
      </c>
      <c r="M157" t="s">
        <v>23</v>
      </c>
      <c r="N157" s="7">
        <v>44516</v>
      </c>
      <c r="O157" t="str" cm="1">
        <f t="array" ref="O157">_xlfn.IFS(tbl_loans_clean[[#This Row],[Credit_Score]]&lt;650,"580-649",tbl_loans_clean[[#This Row],[Credit_Score]]&lt;700,"650-699",tbl_loans_clean[[#This Row],[Credit_Score]]&lt;750,"700-749",TRUE,"750+")</f>
        <v>700-749</v>
      </c>
    </row>
    <row r="158" spans="1:15" x14ac:dyDescent="0.35">
      <c r="A158" t="s">
        <v>500</v>
      </c>
      <c r="B158" t="s">
        <v>30</v>
      </c>
      <c r="C158" t="s">
        <v>22</v>
      </c>
      <c r="D158" t="s">
        <v>45</v>
      </c>
      <c r="E158">
        <v>533714</v>
      </c>
      <c r="F158">
        <v>12.66</v>
      </c>
      <c r="G158">
        <v>60</v>
      </c>
      <c r="H158">
        <v>127485</v>
      </c>
      <c r="I158">
        <v>669</v>
      </c>
      <c r="J158" t="s">
        <v>18</v>
      </c>
      <c r="K158">
        <v>2.5</v>
      </c>
      <c r="L158">
        <v>41.5</v>
      </c>
      <c r="M158" t="s">
        <v>23</v>
      </c>
      <c r="N158" s="7">
        <v>44517</v>
      </c>
      <c r="O158" t="str" cm="1">
        <f t="array" ref="O158">_xlfn.IFS(tbl_loans_clean[[#This Row],[Credit_Score]]&lt;650,"580-649",tbl_loans_clean[[#This Row],[Credit_Score]]&lt;700,"650-699",tbl_loans_clean[[#This Row],[Credit_Score]]&lt;750,"700-749",TRUE,"750+")</f>
        <v>650-699</v>
      </c>
    </row>
    <row r="159" spans="1:15" x14ac:dyDescent="0.35">
      <c r="A159" t="s">
        <v>699</v>
      </c>
      <c r="B159" t="s">
        <v>15</v>
      </c>
      <c r="C159" t="s">
        <v>16</v>
      </c>
      <c r="D159" t="s">
        <v>32</v>
      </c>
      <c r="E159">
        <v>113946</v>
      </c>
      <c r="F159">
        <v>13.08</v>
      </c>
      <c r="G159">
        <v>12</v>
      </c>
      <c r="H159">
        <v>29577</v>
      </c>
      <c r="I159">
        <v>761</v>
      </c>
      <c r="J159" t="s">
        <v>39</v>
      </c>
      <c r="K159">
        <v>12.1</v>
      </c>
      <c r="L159">
        <v>41.6</v>
      </c>
      <c r="M159" t="s">
        <v>23</v>
      </c>
      <c r="N159" s="7">
        <v>44517</v>
      </c>
      <c r="O159" t="str" cm="1">
        <f t="array" ref="O159">_xlfn.IFS(tbl_loans_clean[[#This Row],[Credit_Score]]&lt;650,"580-649",tbl_loans_clean[[#This Row],[Credit_Score]]&lt;700,"650-699",tbl_loans_clean[[#This Row],[Credit_Score]]&lt;750,"700-749",TRUE,"750+")</f>
        <v>750+</v>
      </c>
    </row>
    <row r="160" spans="1:15" x14ac:dyDescent="0.35">
      <c r="A160" t="s">
        <v>63</v>
      </c>
      <c r="B160" t="s">
        <v>30</v>
      </c>
      <c r="C160" t="s">
        <v>22</v>
      </c>
      <c r="D160" t="s">
        <v>17</v>
      </c>
      <c r="E160">
        <v>737722</v>
      </c>
      <c r="F160">
        <v>9.4499999999999993</v>
      </c>
      <c r="G160">
        <v>36</v>
      </c>
      <c r="H160">
        <v>122108</v>
      </c>
      <c r="I160">
        <v>611</v>
      </c>
      <c r="J160" t="s">
        <v>26</v>
      </c>
      <c r="K160">
        <v>21.1</v>
      </c>
      <c r="L160">
        <v>30.3</v>
      </c>
      <c r="M160" t="s">
        <v>19</v>
      </c>
      <c r="N160" s="7">
        <v>44518</v>
      </c>
      <c r="O160" t="str" cm="1">
        <f t="array" ref="O160">_xlfn.IFS(tbl_loans_clean[[#This Row],[Credit_Score]]&lt;650,"580-649",tbl_loans_clean[[#This Row],[Credit_Score]]&lt;700,"650-699",tbl_loans_clean[[#This Row],[Credit_Score]]&lt;750,"700-749",TRUE,"750+")</f>
        <v>580-649</v>
      </c>
    </row>
    <row r="161" spans="1:15" x14ac:dyDescent="0.35">
      <c r="A161" t="s">
        <v>177</v>
      </c>
      <c r="B161" t="s">
        <v>15</v>
      </c>
      <c r="C161" t="s">
        <v>22</v>
      </c>
      <c r="D161" t="s">
        <v>32</v>
      </c>
      <c r="E161">
        <v>715580</v>
      </c>
      <c r="F161">
        <v>13.53</v>
      </c>
      <c r="G161">
        <v>12</v>
      </c>
      <c r="H161">
        <v>141880</v>
      </c>
      <c r="I161">
        <v>676</v>
      </c>
      <c r="J161" t="s">
        <v>39</v>
      </c>
      <c r="K161">
        <v>7</v>
      </c>
      <c r="L161">
        <v>28.1</v>
      </c>
      <c r="M161" t="s">
        <v>19</v>
      </c>
      <c r="N161" s="7">
        <v>44521</v>
      </c>
      <c r="O161" t="str" cm="1">
        <f t="array" ref="O161">_xlfn.IFS(tbl_loans_clean[[#This Row],[Credit_Score]]&lt;650,"580-649",tbl_loans_clean[[#This Row],[Credit_Score]]&lt;700,"650-699",tbl_loans_clean[[#This Row],[Credit_Score]]&lt;750,"700-749",TRUE,"750+")</f>
        <v>650-699</v>
      </c>
    </row>
    <row r="162" spans="1:15" x14ac:dyDescent="0.35">
      <c r="A162" t="s">
        <v>292</v>
      </c>
      <c r="B162" t="s">
        <v>15</v>
      </c>
      <c r="C162" t="s">
        <v>16</v>
      </c>
      <c r="D162" t="s">
        <v>38</v>
      </c>
      <c r="E162">
        <v>127258</v>
      </c>
      <c r="F162">
        <v>3.22</v>
      </c>
      <c r="G162">
        <v>24</v>
      </c>
      <c r="H162">
        <v>86502</v>
      </c>
      <c r="I162">
        <v>697</v>
      </c>
      <c r="J162" t="s">
        <v>18</v>
      </c>
      <c r="K162">
        <v>0.2</v>
      </c>
      <c r="L162">
        <v>43.5</v>
      </c>
      <c r="M162" t="s">
        <v>23</v>
      </c>
      <c r="N162" s="7">
        <v>44526</v>
      </c>
      <c r="O162" t="str" cm="1">
        <f t="array" ref="O162">_xlfn.IFS(tbl_loans_clean[[#This Row],[Credit_Score]]&lt;650,"580-649",tbl_loans_clean[[#This Row],[Credit_Score]]&lt;700,"650-699",tbl_loans_clean[[#This Row],[Credit_Score]]&lt;750,"700-749",TRUE,"750+")</f>
        <v>650-699</v>
      </c>
    </row>
    <row r="163" spans="1:15" x14ac:dyDescent="0.35">
      <c r="A163" t="s">
        <v>304</v>
      </c>
      <c r="B163" t="s">
        <v>30</v>
      </c>
      <c r="C163" t="s">
        <v>16</v>
      </c>
      <c r="D163" t="s">
        <v>17</v>
      </c>
      <c r="E163">
        <v>741265</v>
      </c>
      <c r="F163">
        <v>4.3899999999999997</v>
      </c>
      <c r="G163">
        <v>60</v>
      </c>
      <c r="H163">
        <v>198588</v>
      </c>
      <c r="I163">
        <v>736</v>
      </c>
      <c r="J163" t="s">
        <v>26</v>
      </c>
      <c r="K163">
        <v>12.7</v>
      </c>
      <c r="L163">
        <v>10.7</v>
      </c>
      <c r="M163" t="s">
        <v>23</v>
      </c>
      <c r="N163" s="7">
        <v>44528</v>
      </c>
      <c r="O163" t="str" cm="1">
        <f t="array" ref="O163">_xlfn.IFS(tbl_loans_clean[[#This Row],[Credit_Score]]&lt;650,"580-649",tbl_loans_clean[[#This Row],[Credit_Score]]&lt;700,"650-699",tbl_loans_clean[[#This Row],[Credit_Score]]&lt;750,"700-749",TRUE,"750+")</f>
        <v>700-749</v>
      </c>
    </row>
    <row r="164" spans="1:15" x14ac:dyDescent="0.35">
      <c r="A164" t="s">
        <v>74</v>
      </c>
      <c r="B164" t="s">
        <v>25</v>
      </c>
      <c r="C164" t="s">
        <v>22</v>
      </c>
      <c r="D164" t="s">
        <v>17</v>
      </c>
      <c r="E164">
        <v>158124</v>
      </c>
      <c r="F164">
        <v>12.2</v>
      </c>
      <c r="G164">
        <v>36</v>
      </c>
      <c r="H164">
        <v>35371</v>
      </c>
      <c r="I164">
        <v>692</v>
      </c>
      <c r="J164" t="s">
        <v>26</v>
      </c>
      <c r="K164">
        <v>10.8</v>
      </c>
      <c r="L164">
        <v>32.700000000000003</v>
      </c>
      <c r="M164" t="s">
        <v>23</v>
      </c>
      <c r="N164" s="7">
        <v>44529</v>
      </c>
      <c r="O164" t="str" cm="1">
        <f t="array" ref="O164">_xlfn.IFS(tbl_loans_clean[[#This Row],[Credit_Score]]&lt;650,"580-649",tbl_loans_clean[[#This Row],[Credit_Score]]&lt;700,"650-699",tbl_loans_clean[[#This Row],[Credit_Score]]&lt;750,"700-749",TRUE,"750+")</f>
        <v>650-699</v>
      </c>
    </row>
    <row r="165" spans="1:15" x14ac:dyDescent="0.35">
      <c r="A165" t="s">
        <v>185</v>
      </c>
      <c r="B165" t="s">
        <v>30</v>
      </c>
      <c r="C165" t="s">
        <v>22</v>
      </c>
      <c r="D165" t="s">
        <v>32</v>
      </c>
      <c r="E165">
        <v>426614</v>
      </c>
      <c r="F165">
        <v>10.41</v>
      </c>
      <c r="G165">
        <v>120</v>
      </c>
      <c r="H165">
        <v>200275</v>
      </c>
      <c r="I165">
        <v>613</v>
      </c>
      <c r="J165" t="s">
        <v>18</v>
      </c>
      <c r="K165">
        <v>12.5</v>
      </c>
      <c r="L165">
        <v>13.2</v>
      </c>
      <c r="M165" t="s">
        <v>23</v>
      </c>
      <c r="N165" s="7">
        <v>44530</v>
      </c>
      <c r="O165" t="str" cm="1">
        <f t="array" ref="O165">_xlfn.IFS(tbl_loans_clean[[#This Row],[Credit_Score]]&lt;650,"580-649",tbl_loans_clean[[#This Row],[Credit_Score]]&lt;700,"650-699",tbl_loans_clean[[#This Row],[Credit_Score]]&lt;750,"700-749",TRUE,"750+")</f>
        <v>580-649</v>
      </c>
    </row>
    <row r="166" spans="1:15" x14ac:dyDescent="0.35">
      <c r="A166" t="s">
        <v>370</v>
      </c>
      <c r="B166" t="s">
        <v>15</v>
      </c>
      <c r="C166" t="s">
        <v>22</v>
      </c>
      <c r="D166" t="s">
        <v>45</v>
      </c>
      <c r="E166">
        <v>352860</v>
      </c>
      <c r="F166">
        <v>14.14</v>
      </c>
      <c r="G166">
        <v>12</v>
      </c>
      <c r="H166">
        <v>81473</v>
      </c>
      <c r="I166">
        <v>648</v>
      </c>
      <c r="J166" t="s">
        <v>26</v>
      </c>
      <c r="K166">
        <v>22</v>
      </c>
      <c r="L166">
        <v>25.2</v>
      </c>
      <c r="M166" t="s">
        <v>23</v>
      </c>
      <c r="N166" s="7">
        <v>44530</v>
      </c>
      <c r="O166" t="str" cm="1">
        <f t="array" ref="O166">_xlfn.IFS(tbl_loans_clean[[#This Row],[Credit_Score]]&lt;650,"580-649",tbl_loans_clean[[#This Row],[Credit_Score]]&lt;700,"650-699",tbl_loans_clean[[#This Row],[Credit_Score]]&lt;750,"700-749",TRUE,"750+")</f>
        <v>580-649</v>
      </c>
    </row>
    <row r="167" spans="1:15" x14ac:dyDescent="0.35">
      <c r="A167" t="s">
        <v>118</v>
      </c>
      <c r="B167" t="s">
        <v>30</v>
      </c>
      <c r="C167" t="s">
        <v>16</v>
      </c>
      <c r="D167" t="s">
        <v>32</v>
      </c>
      <c r="E167">
        <v>629219</v>
      </c>
      <c r="F167">
        <v>7.76</v>
      </c>
      <c r="G167">
        <v>240</v>
      </c>
      <c r="H167">
        <v>128211</v>
      </c>
      <c r="I167">
        <v>610</v>
      </c>
      <c r="J167" t="s">
        <v>18</v>
      </c>
      <c r="K167">
        <v>1.3</v>
      </c>
      <c r="L167">
        <v>45.8</v>
      </c>
      <c r="M167" t="s">
        <v>23</v>
      </c>
      <c r="N167" s="7">
        <v>44531</v>
      </c>
      <c r="O167" t="str" cm="1">
        <f t="array" ref="O167">_xlfn.IFS(tbl_loans_clean[[#This Row],[Credit_Score]]&lt;650,"580-649",tbl_loans_clean[[#This Row],[Credit_Score]]&lt;700,"650-699",tbl_loans_clean[[#This Row],[Credit_Score]]&lt;750,"700-749",TRUE,"750+")</f>
        <v>580-649</v>
      </c>
    </row>
    <row r="168" spans="1:15" x14ac:dyDescent="0.35">
      <c r="A168" t="s">
        <v>458</v>
      </c>
      <c r="B168" t="s">
        <v>30</v>
      </c>
      <c r="C168" t="s">
        <v>22</v>
      </c>
      <c r="D168" t="s">
        <v>17</v>
      </c>
      <c r="E168">
        <v>696381</v>
      </c>
      <c r="F168">
        <v>3.55</v>
      </c>
      <c r="G168">
        <v>240</v>
      </c>
      <c r="H168">
        <v>56379</v>
      </c>
      <c r="I168">
        <v>636</v>
      </c>
      <c r="J168" t="s">
        <v>26</v>
      </c>
      <c r="K168">
        <v>3.8</v>
      </c>
      <c r="L168">
        <v>32.6</v>
      </c>
      <c r="M168" t="s">
        <v>19</v>
      </c>
      <c r="N168" s="7">
        <v>44539</v>
      </c>
      <c r="O168" t="str" cm="1">
        <f t="array" ref="O168">_xlfn.IFS(tbl_loans_clean[[#This Row],[Credit_Score]]&lt;650,"580-649",tbl_loans_clean[[#This Row],[Credit_Score]]&lt;700,"650-699",tbl_loans_clean[[#This Row],[Credit_Score]]&lt;750,"700-749",TRUE,"750+")</f>
        <v>580-649</v>
      </c>
    </row>
    <row r="169" spans="1:15" x14ac:dyDescent="0.35">
      <c r="A169" t="s">
        <v>469</v>
      </c>
      <c r="B169" t="s">
        <v>37</v>
      </c>
      <c r="C169" t="s">
        <v>22</v>
      </c>
      <c r="D169" t="s">
        <v>52</v>
      </c>
      <c r="E169">
        <v>704151</v>
      </c>
      <c r="F169">
        <v>6.88</v>
      </c>
      <c r="G169">
        <v>60</v>
      </c>
      <c r="H169">
        <v>172993</v>
      </c>
      <c r="I169">
        <v>663</v>
      </c>
      <c r="J169" t="s">
        <v>18</v>
      </c>
      <c r="K169">
        <v>13.2</v>
      </c>
      <c r="L169">
        <v>25.9</v>
      </c>
      <c r="M169" t="s">
        <v>23</v>
      </c>
      <c r="N169" s="7">
        <v>44539</v>
      </c>
      <c r="O169" t="str" cm="1">
        <f t="array" ref="O169">_xlfn.IFS(tbl_loans_clean[[#This Row],[Credit_Score]]&lt;650,"580-649",tbl_loans_clean[[#This Row],[Credit_Score]]&lt;700,"650-699",tbl_loans_clean[[#This Row],[Credit_Score]]&lt;750,"700-749",TRUE,"750+")</f>
        <v>650-699</v>
      </c>
    </row>
    <row r="170" spans="1:15" x14ac:dyDescent="0.35">
      <c r="A170" t="s">
        <v>497</v>
      </c>
      <c r="B170" t="s">
        <v>15</v>
      </c>
      <c r="C170" t="s">
        <v>22</v>
      </c>
      <c r="D170" t="s">
        <v>45</v>
      </c>
      <c r="E170">
        <v>189626</v>
      </c>
      <c r="F170">
        <v>10.25</v>
      </c>
      <c r="G170">
        <v>48</v>
      </c>
      <c r="H170">
        <v>190730</v>
      </c>
      <c r="I170">
        <v>761</v>
      </c>
      <c r="J170" t="s">
        <v>26</v>
      </c>
      <c r="K170">
        <v>13.6</v>
      </c>
      <c r="L170">
        <v>21.1</v>
      </c>
      <c r="M170" t="s">
        <v>23</v>
      </c>
      <c r="N170" s="7">
        <v>44539</v>
      </c>
      <c r="O170" t="str" cm="1">
        <f t="array" ref="O170">_xlfn.IFS(tbl_loans_clean[[#This Row],[Credit_Score]]&lt;650,"580-649",tbl_loans_clean[[#This Row],[Credit_Score]]&lt;700,"650-699",tbl_loans_clean[[#This Row],[Credit_Score]]&lt;750,"700-749",TRUE,"750+")</f>
        <v>750+</v>
      </c>
    </row>
    <row r="171" spans="1:15" x14ac:dyDescent="0.35">
      <c r="A171" t="s">
        <v>198</v>
      </c>
      <c r="B171" t="s">
        <v>25</v>
      </c>
      <c r="C171" t="s">
        <v>22</v>
      </c>
      <c r="D171" t="s">
        <v>32</v>
      </c>
      <c r="E171">
        <v>709293</v>
      </c>
      <c r="F171">
        <v>8.39</v>
      </c>
      <c r="G171">
        <v>36</v>
      </c>
      <c r="H171">
        <v>28390</v>
      </c>
      <c r="I171">
        <v>849</v>
      </c>
      <c r="J171" t="s">
        <v>18</v>
      </c>
      <c r="K171">
        <v>23.5</v>
      </c>
      <c r="L171">
        <v>39.799999999999997</v>
      </c>
      <c r="M171" t="s">
        <v>23</v>
      </c>
      <c r="N171" s="7">
        <v>44544</v>
      </c>
      <c r="O171" t="str" cm="1">
        <f t="array" ref="O171">_xlfn.IFS(tbl_loans_clean[[#This Row],[Credit_Score]]&lt;650,"580-649",tbl_loans_clean[[#This Row],[Credit_Score]]&lt;700,"650-699",tbl_loans_clean[[#This Row],[Credit_Score]]&lt;750,"700-749",TRUE,"750+")</f>
        <v>750+</v>
      </c>
    </row>
    <row r="172" spans="1:15" x14ac:dyDescent="0.35">
      <c r="A172" t="s">
        <v>556</v>
      </c>
      <c r="B172" t="s">
        <v>30</v>
      </c>
      <c r="C172" t="s">
        <v>22</v>
      </c>
      <c r="D172" t="s">
        <v>45</v>
      </c>
      <c r="E172">
        <v>118000</v>
      </c>
      <c r="F172">
        <v>4.9400000000000004</v>
      </c>
      <c r="G172">
        <v>12</v>
      </c>
      <c r="H172">
        <v>210700</v>
      </c>
      <c r="I172">
        <v>761</v>
      </c>
      <c r="J172" t="s">
        <v>39</v>
      </c>
      <c r="K172">
        <v>24.4</v>
      </c>
      <c r="L172">
        <v>44.8</v>
      </c>
      <c r="M172" t="s">
        <v>23</v>
      </c>
      <c r="N172" s="7">
        <v>44546</v>
      </c>
      <c r="O172" t="str" cm="1">
        <f t="array" ref="O172">_xlfn.IFS(tbl_loans_clean[[#This Row],[Credit_Score]]&lt;650,"580-649",tbl_loans_clean[[#This Row],[Credit_Score]]&lt;700,"650-699",tbl_loans_clean[[#This Row],[Credit_Score]]&lt;750,"700-749",TRUE,"750+")</f>
        <v>750+</v>
      </c>
    </row>
    <row r="173" spans="1:15" x14ac:dyDescent="0.35">
      <c r="A173" t="s">
        <v>463</v>
      </c>
      <c r="B173" t="s">
        <v>25</v>
      </c>
      <c r="C173" t="s">
        <v>22</v>
      </c>
      <c r="D173" t="s">
        <v>45</v>
      </c>
      <c r="E173">
        <v>661761</v>
      </c>
      <c r="F173">
        <v>9.5</v>
      </c>
      <c r="G173">
        <v>240</v>
      </c>
      <c r="H173">
        <v>204819</v>
      </c>
      <c r="I173">
        <v>792</v>
      </c>
      <c r="J173" t="s">
        <v>26</v>
      </c>
      <c r="K173">
        <v>1.6</v>
      </c>
      <c r="L173">
        <v>28.5</v>
      </c>
      <c r="M173" t="s">
        <v>19</v>
      </c>
      <c r="N173" s="7">
        <v>44547</v>
      </c>
      <c r="O173" t="str" cm="1">
        <f t="array" ref="O173">_xlfn.IFS(tbl_loans_clean[[#This Row],[Credit_Score]]&lt;650,"580-649",tbl_loans_clean[[#This Row],[Credit_Score]]&lt;700,"650-699",tbl_loans_clean[[#This Row],[Credit_Score]]&lt;750,"700-749",TRUE,"750+")</f>
        <v>750+</v>
      </c>
    </row>
    <row r="174" spans="1:15" x14ac:dyDescent="0.35">
      <c r="A174" t="s">
        <v>825</v>
      </c>
      <c r="B174" t="s">
        <v>30</v>
      </c>
      <c r="C174" t="s">
        <v>22</v>
      </c>
      <c r="D174" t="s">
        <v>32</v>
      </c>
      <c r="E174">
        <v>542977</v>
      </c>
      <c r="F174">
        <v>13.2</v>
      </c>
      <c r="G174">
        <v>60</v>
      </c>
      <c r="H174">
        <v>79796</v>
      </c>
      <c r="I174">
        <v>757</v>
      </c>
      <c r="J174" t="s">
        <v>39</v>
      </c>
      <c r="K174">
        <v>20.9</v>
      </c>
      <c r="L174">
        <v>26.2</v>
      </c>
      <c r="M174" t="s">
        <v>55</v>
      </c>
      <c r="N174" s="7">
        <v>44547</v>
      </c>
      <c r="O174" t="str" cm="1">
        <f t="array" ref="O174">_xlfn.IFS(tbl_loans_clean[[#This Row],[Credit_Score]]&lt;650,"580-649",tbl_loans_clean[[#This Row],[Credit_Score]]&lt;700,"650-699",tbl_loans_clean[[#This Row],[Credit_Score]]&lt;750,"700-749",TRUE,"750+")</f>
        <v>750+</v>
      </c>
    </row>
    <row r="175" spans="1:15" x14ac:dyDescent="0.35">
      <c r="A175" t="s">
        <v>89</v>
      </c>
      <c r="B175" t="s">
        <v>30</v>
      </c>
      <c r="C175" t="s">
        <v>16</v>
      </c>
      <c r="D175" t="s">
        <v>38</v>
      </c>
      <c r="E175">
        <v>241527</v>
      </c>
      <c r="F175">
        <v>6.97</v>
      </c>
      <c r="G175">
        <v>60</v>
      </c>
      <c r="H175">
        <v>103986</v>
      </c>
      <c r="I175">
        <v>827</v>
      </c>
      <c r="J175" t="s">
        <v>18</v>
      </c>
      <c r="K175">
        <v>11.1</v>
      </c>
      <c r="L175">
        <v>16.100000000000001</v>
      </c>
      <c r="M175" t="s">
        <v>23</v>
      </c>
      <c r="N175" s="7">
        <v>44549</v>
      </c>
      <c r="O175" t="str" cm="1">
        <f t="array" ref="O175">_xlfn.IFS(tbl_loans_clean[[#This Row],[Credit_Score]]&lt;650,"580-649",tbl_loans_clean[[#This Row],[Credit_Score]]&lt;700,"650-699",tbl_loans_clean[[#This Row],[Credit_Score]]&lt;750,"700-749",TRUE,"750+")</f>
        <v>750+</v>
      </c>
    </row>
    <row r="176" spans="1:15" x14ac:dyDescent="0.35">
      <c r="A176" t="s">
        <v>92</v>
      </c>
      <c r="B176" t="s">
        <v>71</v>
      </c>
      <c r="C176" t="s">
        <v>22</v>
      </c>
      <c r="D176" t="s">
        <v>17</v>
      </c>
      <c r="E176">
        <v>557004</v>
      </c>
      <c r="F176">
        <v>3.97</v>
      </c>
      <c r="G176">
        <v>300</v>
      </c>
      <c r="H176">
        <v>137767</v>
      </c>
      <c r="I176">
        <v>842</v>
      </c>
      <c r="J176" t="s">
        <v>18</v>
      </c>
      <c r="K176">
        <v>9.6</v>
      </c>
      <c r="L176">
        <v>18.5</v>
      </c>
      <c r="M176" t="s">
        <v>23</v>
      </c>
      <c r="N176" s="7">
        <v>44549</v>
      </c>
      <c r="O176" t="str" cm="1">
        <f t="array" ref="O176">_xlfn.IFS(tbl_loans_clean[[#This Row],[Credit_Score]]&lt;650,"580-649",tbl_loans_clean[[#This Row],[Credit_Score]]&lt;700,"650-699",tbl_loans_clean[[#This Row],[Credit_Score]]&lt;750,"700-749",TRUE,"750+")</f>
        <v>750+</v>
      </c>
    </row>
    <row r="177" spans="1:15" x14ac:dyDescent="0.35">
      <c r="A177" t="s">
        <v>599</v>
      </c>
      <c r="B177" t="s">
        <v>30</v>
      </c>
      <c r="C177" t="s">
        <v>22</v>
      </c>
      <c r="D177" t="s">
        <v>17</v>
      </c>
      <c r="E177">
        <v>392025</v>
      </c>
      <c r="F177">
        <v>4.34</v>
      </c>
      <c r="G177">
        <v>24</v>
      </c>
      <c r="H177">
        <v>138782</v>
      </c>
      <c r="I177">
        <v>655</v>
      </c>
      <c r="J177" t="s">
        <v>18</v>
      </c>
      <c r="K177">
        <v>7.9</v>
      </c>
      <c r="L177">
        <v>16.399999999999999</v>
      </c>
      <c r="M177" t="s">
        <v>23</v>
      </c>
      <c r="N177" s="7">
        <v>44552</v>
      </c>
      <c r="O177" t="str" cm="1">
        <f t="array" ref="O177">_xlfn.IFS(tbl_loans_clean[[#This Row],[Credit_Score]]&lt;650,"580-649",tbl_loans_clean[[#This Row],[Credit_Score]]&lt;700,"650-699",tbl_loans_clean[[#This Row],[Credit_Score]]&lt;750,"700-749",TRUE,"750+")</f>
        <v>650-699</v>
      </c>
    </row>
    <row r="178" spans="1:15" x14ac:dyDescent="0.35">
      <c r="A178" t="s">
        <v>670</v>
      </c>
      <c r="B178" t="s">
        <v>30</v>
      </c>
      <c r="C178" t="s">
        <v>16</v>
      </c>
      <c r="D178" t="s">
        <v>17</v>
      </c>
      <c r="E178">
        <v>333785</v>
      </c>
      <c r="F178">
        <v>8.73</v>
      </c>
      <c r="G178">
        <v>48</v>
      </c>
      <c r="H178">
        <v>96469</v>
      </c>
      <c r="I178">
        <v>609</v>
      </c>
      <c r="J178" t="s">
        <v>18</v>
      </c>
      <c r="K178">
        <v>19.2</v>
      </c>
      <c r="L178">
        <v>45.5</v>
      </c>
      <c r="M178" t="s">
        <v>23</v>
      </c>
      <c r="N178" s="7">
        <v>44556</v>
      </c>
      <c r="O178" t="str" cm="1">
        <f t="array" ref="O178">_xlfn.IFS(tbl_loans_clean[[#This Row],[Credit_Score]]&lt;650,"580-649",tbl_loans_clean[[#This Row],[Credit_Score]]&lt;700,"650-699",tbl_loans_clean[[#This Row],[Credit_Score]]&lt;750,"700-749",TRUE,"750+")</f>
        <v>580-649</v>
      </c>
    </row>
    <row r="179" spans="1:15" x14ac:dyDescent="0.35">
      <c r="A179" t="s">
        <v>372</v>
      </c>
      <c r="B179" t="s">
        <v>30</v>
      </c>
      <c r="C179" t="s">
        <v>16</v>
      </c>
      <c r="D179" t="s">
        <v>45</v>
      </c>
      <c r="E179">
        <v>103538</v>
      </c>
      <c r="F179">
        <v>10.53</v>
      </c>
      <c r="G179">
        <v>240</v>
      </c>
      <c r="H179">
        <v>72439</v>
      </c>
      <c r="I179">
        <v>760</v>
      </c>
      <c r="J179" t="s">
        <v>18</v>
      </c>
      <c r="K179">
        <v>18.5</v>
      </c>
      <c r="L179">
        <v>47.5</v>
      </c>
      <c r="M179" t="s">
        <v>23</v>
      </c>
      <c r="N179" s="7">
        <v>44558</v>
      </c>
      <c r="O179" t="str" cm="1">
        <f t="array" ref="O179">_xlfn.IFS(tbl_loans_clean[[#This Row],[Credit_Score]]&lt;650,"580-649",tbl_loans_clean[[#This Row],[Credit_Score]]&lt;700,"650-699",tbl_loans_clean[[#This Row],[Credit_Score]]&lt;750,"700-749",TRUE,"750+")</f>
        <v>750+</v>
      </c>
    </row>
    <row r="180" spans="1:15" x14ac:dyDescent="0.35">
      <c r="A180" t="s">
        <v>123</v>
      </c>
      <c r="B180" t="s">
        <v>30</v>
      </c>
      <c r="C180" t="s">
        <v>22</v>
      </c>
      <c r="D180" t="s">
        <v>45</v>
      </c>
      <c r="E180">
        <v>556050</v>
      </c>
      <c r="F180">
        <v>7.69</v>
      </c>
      <c r="G180">
        <v>240</v>
      </c>
      <c r="H180">
        <v>58771</v>
      </c>
      <c r="I180">
        <v>786</v>
      </c>
      <c r="J180" t="s">
        <v>18</v>
      </c>
      <c r="K180">
        <v>6.1</v>
      </c>
      <c r="L180">
        <v>27.5</v>
      </c>
      <c r="M180" t="s">
        <v>23</v>
      </c>
      <c r="N180" s="7">
        <v>44560</v>
      </c>
      <c r="O180" t="str" cm="1">
        <f t="array" ref="O180">_xlfn.IFS(tbl_loans_clean[[#This Row],[Credit_Score]]&lt;650,"580-649",tbl_loans_clean[[#This Row],[Credit_Score]]&lt;700,"650-699",tbl_loans_clean[[#This Row],[Credit_Score]]&lt;750,"700-749",TRUE,"750+")</f>
        <v>750+</v>
      </c>
    </row>
    <row r="181" spans="1:15" x14ac:dyDescent="0.35">
      <c r="A181" t="s">
        <v>311</v>
      </c>
      <c r="B181" t="s">
        <v>30</v>
      </c>
      <c r="C181" t="s">
        <v>22</v>
      </c>
      <c r="D181" t="s">
        <v>38</v>
      </c>
      <c r="E181">
        <v>372003</v>
      </c>
      <c r="F181">
        <v>5.85</v>
      </c>
      <c r="G181">
        <v>48</v>
      </c>
      <c r="H181">
        <v>103318</v>
      </c>
      <c r="I181">
        <v>778</v>
      </c>
      <c r="J181" t="s">
        <v>18</v>
      </c>
      <c r="K181">
        <v>5.3</v>
      </c>
      <c r="L181">
        <v>29.3</v>
      </c>
      <c r="M181" t="s">
        <v>19</v>
      </c>
      <c r="N181" s="7">
        <v>44561</v>
      </c>
      <c r="O181" t="str" cm="1">
        <f t="array" ref="O181">_xlfn.IFS(tbl_loans_clean[[#This Row],[Credit_Score]]&lt;650,"580-649",tbl_loans_clean[[#This Row],[Credit_Score]]&lt;700,"650-699",tbl_loans_clean[[#This Row],[Credit_Score]]&lt;750,"700-749",TRUE,"750+")</f>
        <v>750+</v>
      </c>
    </row>
    <row r="182" spans="1:15" x14ac:dyDescent="0.35">
      <c r="A182" t="s">
        <v>686</v>
      </c>
      <c r="B182" t="s">
        <v>30</v>
      </c>
      <c r="C182" t="s">
        <v>34</v>
      </c>
      <c r="D182" t="s">
        <v>43</v>
      </c>
      <c r="E182">
        <v>462719</v>
      </c>
      <c r="F182">
        <v>9.66</v>
      </c>
      <c r="G182">
        <v>48</v>
      </c>
      <c r="H182">
        <v>173677</v>
      </c>
      <c r="I182">
        <v>800</v>
      </c>
      <c r="J182" t="s">
        <v>18</v>
      </c>
      <c r="K182">
        <v>20.2</v>
      </c>
      <c r="L182">
        <v>24.6</v>
      </c>
      <c r="M182" t="s">
        <v>48</v>
      </c>
      <c r="N182" s="7">
        <v>44561</v>
      </c>
      <c r="O182" t="str" cm="1">
        <f t="array" ref="O182">_xlfn.IFS(tbl_loans_clean[[#This Row],[Credit_Score]]&lt;650,"580-649",tbl_loans_clean[[#This Row],[Credit_Score]]&lt;700,"650-699",tbl_loans_clean[[#This Row],[Credit_Score]]&lt;750,"700-749",TRUE,"750+")</f>
        <v>750+</v>
      </c>
    </row>
    <row r="183" spans="1:15" x14ac:dyDescent="0.35">
      <c r="A183" t="s">
        <v>780</v>
      </c>
      <c r="B183" t="s">
        <v>15</v>
      </c>
      <c r="C183" t="s">
        <v>22</v>
      </c>
      <c r="D183" t="s">
        <v>17</v>
      </c>
      <c r="E183">
        <v>487488</v>
      </c>
      <c r="F183">
        <v>13.9</v>
      </c>
      <c r="G183">
        <v>240</v>
      </c>
      <c r="H183">
        <v>37265</v>
      </c>
      <c r="I183">
        <v>833</v>
      </c>
      <c r="J183" t="s">
        <v>26</v>
      </c>
      <c r="K183">
        <v>23.7</v>
      </c>
      <c r="L183">
        <v>30</v>
      </c>
      <c r="M183" t="s">
        <v>55</v>
      </c>
      <c r="N183" s="7">
        <v>44561</v>
      </c>
      <c r="O183" t="str" cm="1">
        <f t="array" ref="O183">_xlfn.IFS(tbl_loans_clean[[#This Row],[Credit_Score]]&lt;650,"580-649",tbl_loans_clean[[#This Row],[Credit_Score]]&lt;700,"650-699",tbl_loans_clean[[#This Row],[Credit_Score]]&lt;750,"700-749",TRUE,"750+")</f>
        <v>750+</v>
      </c>
    </row>
    <row r="184" spans="1:15" x14ac:dyDescent="0.35">
      <c r="A184" t="s">
        <v>537</v>
      </c>
      <c r="B184" t="s">
        <v>30</v>
      </c>
      <c r="C184" t="s">
        <v>22</v>
      </c>
      <c r="D184" t="s">
        <v>38</v>
      </c>
      <c r="E184">
        <v>495834</v>
      </c>
      <c r="F184">
        <v>4.97</v>
      </c>
      <c r="G184">
        <v>36</v>
      </c>
      <c r="H184">
        <v>128485</v>
      </c>
      <c r="I184">
        <v>730</v>
      </c>
      <c r="J184" t="s">
        <v>18</v>
      </c>
      <c r="K184">
        <v>1.9</v>
      </c>
      <c r="L184">
        <v>18.100000000000001</v>
      </c>
      <c r="M184" t="s">
        <v>23</v>
      </c>
      <c r="N184" s="7">
        <v>44565</v>
      </c>
      <c r="O184" t="str" cm="1">
        <f t="array" ref="O184">_xlfn.IFS(tbl_loans_clean[[#This Row],[Credit_Score]]&lt;650,"580-649",tbl_loans_clean[[#This Row],[Credit_Score]]&lt;700,"650-699",tbl_loans_clean[[#This Row],[Credit_Score]]&lt;750,"700-749",TRUE,"750+")</f>
        <v>700-749</v>
      </c>
    </row>
    <row r="185" spans="1:15" x14ac:dyDescent="0.35">
      <c r="A185" t="s">
        <v>649</v>
      </c>
      <c r="B185" t="s">
        <v>15</v>
      </c>
      <c r="C185" t="s">
        <v>34</v>
      </c>
      <c r="D185" t="s">
        <v>43</v>
      </c>
      <c r="E185">
        <v>423458</v>
      </c>
      <c r="F185">
        <v>14.38</v>
      </c>
      <c r="G185">
        <v>36</v>
      </c>
      <c r="H185">
        <v>159250</v>
      </c>
      <c r="I185">
        <v>785</v>
      </c>
      <c r="J185" t="s">
        <v>26</v>
      </c>
      <c r="K185">
        <v>15.8</v>
      </c>
      <c r="L185">
        <v>33.700000000000003</v>
      </c>
      <c r="M185" t="s">
        <v>23</v>
      </c>
      <c r="N185" s="7">
        <v>44566</v>
      </c>
      <c r="O185" t="str" cm="1">
        <f t="array" ref="O185">_xlfn.IFS(tbl_loans_clean[[#This Row],[Credit_Score]]&lt;650,"580-649",tbl_loans_clean[[#This Row],[Credit_Score]]&lt;700,"650-699",tbl_loans_clean[[#This Row],[Credit_Score]]&lt;750,"700-749",TRUE,"750+")</f>
        <v>750+</v>
      </c>
    </row>
    <row r="186" spans="1:15" x14ac:dyDescent="0.35">
      <c r="A186" t="s">
        <v>741</v>
      </c>
      <c r="B186" t="s">
        <v>15</v>
      </c>
      <c r="C186" t="s">
        <v>34</v>
      </c>
      <c r="D186" t="s">
        <v>17</v>
      </c>
      <c r="E186">
        <v>476017</v>
      </c>
      <c r="F186">
        <v>8.15</v>
      </c>
      <c r="G186">
        <v>24</v>
      </c>
      <c r="H186">
        <v>175646</v>
      </c>
      <c r="I186">
        <v>776</v>
      </c>
      <c r="J186" t="s">
        <v>18</v>
      </c>
      <c r="K186">
        <v>11.8</v>
      </c>
      <c r="L186">
        <v>35.5</v>
      </c>
      <c r="M186" t="s">
        <v>23</v>
      </c>
      <c r="N186" s="7">
        <v>44566</v>
      </c>
      <c r="O186" t="str" cm="1">
        <f t="array" ref="O186">_xlfn.IFS(tbl_loans_clean[[#This Row],[Credit_Score]]&lt;650,"580-649",tbl_loans_clean[[#This Row],[Credit_Score]]&lt;700,"650-699",tbl_loans_clean[[#This Row],[Credit_Score]]&lt;750,"700-749",TRUE,"750+")</f>
        <v>750+</v>
      </c>
    </row>
    <row r="187" spans="1:15" x14ac:dyDescent="0.35">
      <c r="A187" t="s">
        <v>834</v>
      </c>
      <c r="B187" t="s">
        <v>15</v>
      </c>
      <c r="C187" t="s">
        <v>22</v>
      </c>
      <c r="D187" t="s">
        <v>32</v>
      </c>
      <c r="E187">
        <v>550932</v>
      </c>
      <c r="F187">
        <v>8.06</v>
      </c>
      <c r="G187">
        <v>12</v>
      </c>
      <c r="H187">
        <v>133072</v>
      </c>
      <c r="I187">
        <v>586</v>
      </c>
      <c r="J187" t="s">
        <v>26</v>
      </c>
      <c r="K187">
        <v>23.3</v>
      </c>
      <c r="L187">
        <v>40.799999999999997</v>
      </c>
      <c r="M187" t="s">
        <v>19</v>
      </c>
      <c r="N187" s="7">
        <v>44566</v>
      </c>
      <c r="O187" t="str" cm="1">
        <f t="array" ref="O187">_xlfn.IFS(tbl_loans_clean[[#This Row],[Credit_Score]]&lt;650,"580-649",tbl_loans_clean[[#This Row],[Credit_Score]]&lt;700,"650-699",tbl_loans_clean[[#This Row],[Credit_Score]]&lt;750,"700-749",TRUE,"750+")</f>
        <v>580-649</v>
      </c>
    </row>
    <row r="188" spans="1:15" x14ac:dyDescent="0.35">
      <c r="A188" t="s">
        <v>403</v>
      </c>
      <c r="B188" t="s">
        <v>28</v>
      </c>
      <c r="C188" t="s">
        <v>22</v>
      </c>
      <c r="D188" t="s">
        <v>32</v>
      </c>
      <c r="E188">
        <v>294508</v>
      </c>
      <c r="F188">
        <v>9.0500000000000007</v>
      </c>
      <c r="G188">
        <v>36</v>
      </c>
      <c r="H188">
        <v>177682</v>
      </c>
      <c r="I188">
        <v>598</v>
      </c>
      <c r="J188" t="s">
        <v>18</v>
      </c>
      <c r="K188">
        <v>0.9</v>
      </c>
      <c r="L188">
        <v>41</v>
      </c>
      <c r="M188" t="s">
        <v>19</v>
      </c>
      <c r="N188" s="7">
        <v>44567</v>
      </c>
      <c r="O188" t="str" cm="1">
        <f t="array" ref="O188">_xlfn.IFS(tbl_loans_clean[[#This Row],[Credit_Score]]&lt;650,"580-649",tbl_loans_clean[[#This Row],[Credit_Score]]&lt;700,"650-699",tbl_loans_clean[[#This Row],[Credit_Score]]&lt;750,"700-749",TRUE,"750+")</f>
        <v>580-649</v>
      </c>
    </row>
    <row r="189" spans="1:15" x14ac:dyDescent="0.35">
      <c r="A189" t="s">
        <v>314</v>
      </c>
      <c r="B189" t="s">
        <v>37</v>
      </c>
      <c r="C189" t="s">
        <v>22</v>
      </c>
      <c r="D189" t="s">
        <v>32</v>
      </c>
      <c r="E189">
        <v>19743</v>
      </c>
      <c r="F189">
        <v>10.16</v>
      </c>
      <c r="G189">
        <v>240</v>
      </c>
      <c r="H189">
        <v>187629</v>
      </c>
      <c r="I189">
        <v>700</v>
      </c>
      <c r="J189" t="s">
        <v>18</v>
      </c>
      <c r="K189">
        <v>1.7</v>
      </c>
      <c r="L189">
        <v>10.7</v>
      </c>
      <c r="M189" t="s">
        <v>23</v>
      </c>
      <c r="N189" s="7">
        <v>44569</v>
      </c>
      <c r="O189" t="str" cm="1">
        <f t="array" ref="O189">_xlfn.IFS(tbl_loans_clean[[#This Row],[Credit_Score]]&lt;650,"580-649",tbl_loans_clean[[#This Row],[Credit_Score]]&lt;700,"650-699",tbl_loans_clean[[#This Row],[Credit_Score]]&lt;750,"700-749",TRUE,"750+")</f>
        <v>700-749</v>
      </c>
    </row>
    <row r="190" spans="1:15" x14ac:dyDescent="0.35">
      <c r="A190" t="s">
        <v>262</v>
      </c>
      <c r="B190" t="s">
        <v>15</v>
      </c>
      <c r="C190" t="s">
        <v>22</v>
      </c>
      <c r="D190" t="s">
        <v>17</v>
      </c>
      <c r="E190">
        <v>164292</v>
      </c>
      <c r="F190">
        <v>7.2</v>
      </c>
      <c r="G190">
        <v>300</v>
      </c>
      <c r="H190">
        <v>37927</v>
      </c>
      <c r="I190">
        <v>652</v>
      </c>
      <c r="J190" t="s">
        <v>18</v>
      </c>
      <c r="K190">
        <v>24.2</v>
      </c>
      <c r="L190">
        <v>8.9</v>
      </c>
      <c r="M190" t="s">
        <v>19</v>
      </c>
      <c r="N190" s="7">
        <v>44570</v>
      </c>
      <c r="O190" t="str" cm="1">
        <f t="array" ref="O190">_xlfn.IFS(tbl_loans_clean[[#This Row],[Credit_Score]]&lt;650,"580-649",tbl_loans_clean[[#This Row],[Credit_Score]]&lt;700,"650-699",tbl_loans_clean[[#This Row],[Credit_Score]]&lt;750,"700-749",TRUE,"750+")</f>
        <v>650-699</v>
      </c>
    </row>
    <row r="191" spans="1:15" x14ac:dyDescent="0.35">
      <c r="A191" t="s">
        <v>377</v>
      </c>
      <c r="B191" t="s">
        <v>30</v>
      </c>
      <c r="C191" t="s">
        <v>22</v>
      </c>
      <c r="D191" t="s">
        <v>38</v>
      </c>
      <c r="E191">
        <v>360779</v>
      </c>
      <c r="F191">
        <v>14.47</v>
      </c>
      <c r="G191">
        <v>60</v>
      </c>
      <c r="H191">
        <v>37837</v>
      </c>
      <c r="I191">
        <v>728</v>
      </c>
      <c r="J191" t="s">
        <v>26</v>
      </c>
      <c r="K191">
        <v>1.2</v>
      </c>
      <c r="L191">
        <v>47</v>
      </c>
      <c r="M191" t="s">
        <v>48</v>
      </c>
      <c r="N191" s="7">
        <v>44572</v>
      </c>
      <c r="O191" t="str" cm="1">
        <f t="array" ref="O191">_xlfn.IFS(tbl_loans_clean[[#This Row],[Credit_Score]]&lt;650,"580-649",tbl_loans_clean[[#This Row],[Credit_Score]]&lt;700,"650-699",tbl_loans_clean[[#This Row],[Credit_Score]]&lt;750,"700-749",TRUE,"750+")</f>
        <v>700-749</v>
      </c>
    </row>
    <row r="192" spans="1:15" x14ac:dyDescent="0.35">
      <c r="A192" t="s">
        <v>514</v>
      </c>
      <c r="B192" t="s">
        <v>30</v>
      </c>
      <c r="C192" t="s">
        <v>16</v>
      </c>
      <c r="D192" t="s">
        <v>17</v>
      </c>
      <c r="E192">
        <v>54067</v>
      </c>
      <c r="F192">
        <v>13.69</v>
      </c>
      <c r="G192">
        <v>36</v>
      </c>
      <c r="H192">
        <v>126162</v>
      </c>
      <c r="I192">
        <v>595</v>
      </c>
      <c r="J192" t="s">
        <v>18</v>
      </c>
      <c r="K192">
        <v>14.9</v>
      </c>
      <c r="L192">
        <v>22.2</v>
      </c>
      <c r="M192" t="s">
        <v>23</v>
      </c>
      <c r="N192" s="7">
        <v>44572</v>
      </c>
      <c r="O192" t="str" cm="1">
        <f t="array" ref="O192">_xlfn.IFS(tbl_loans_clean[[#This Row],[Credit_Score]]&lt;650,"580-649",tbl_loans_clean[[#This Row],[Credit_Score]]&lt;700,"650-699",tbl_loans_clean[[#This Row],[Credit_Score]]&lt;750,"700-749",TRUE,"750+")</f>
        <v>580-649</v>
      </c>
    </row>
    <row r="193" spans="1:15" x14ac:dyDescent="0.35">
      <c r="A193" t="s">
        <v>656</v>
      </c>
      <c r="B193" t="s">
        <v>37</v>
      </c>
      <c r="C193" t="s">
        <v>16</v>
      </c>
      <c r="D193" t="s">
        <v>38</v>
      </c>
      <c r="E193">
        <v>615032</v>
      </c>
      <c r="F193">
        <v>8.66</v>
      </c>
      <c r="G193">
        <v>24</v>
      </c>
      <c r="H193">
        <v>125462</v>
      </c>
      <c r="I193">
        <v>613</v>
      </c>
      <c r="J193" t="s">
        <v>18</v>
      </c>
      <c r="K193">
        <v>9.8000000000000007</v>
      </c>
      <c r="L193">
        <v>33.700000000000003</v>
      </c>
      <c r="M193" t="s">
        <v>23</v>
      </c>
      <c r="N193" s="7">
        <v>44573</v>
      </c>
      <c r="O193" t="str" cm="1">
        <f t="array" ref="O193">_xlfn.IFS(tbl_loans_clean[[#This Row],[Credit_Score]]&lt;650,"580-649",tbl_loans_clean[[#This Row],[Credit_Score]]&lt;700,"650-699",tbl_loans_clean[[#This Row],[Credit_Score]]&lt;750,"700-749",TRUE,"750+")</f>
        <v>580-649</v>
      </c>
    </row>
    <row r="194" spans="1:15" x14ac:dyDescent="0.35">
      <c r="A194" t="s">
        <v>776</v>
      </c>
      <c r="B194" t="s">
        <v>30</v>
      </c>
      <c r="C194" t="s">
        <v>22</v>
      </c>
      <c r="D194" t="s">
        <v>17</v>
      </c>
      <c r="E194">
        <v>433733</v>
      </c>
      <c r="F194">
        <v>10.11</v>
      </c>
      <c r="G194">
        <v>300</v>
      </c>
      <c r="H194">
        <v>156023</v>
      </c>
      <c r="I194">
        <v>597</v>
      </c>
      <c r="J194" t="s">
        <v>26</v>
      </c>
      <c r="K194">
        <v>10.7</v>
      </c>
      <c r="L194">
        <v>21.7</v>
      </c>
      <c r="M194" t="s">
        <v>55</v>
      </c>
      <c r="N194" s="7">
        <v>44575</v>
      </c>
      <c r="O194" t="str" cm="1">
        <f t="array" ref="O194">_xlfn.IFS(tbl_loans_clean[[#This Row],[Credit_Score]]&lt;650,"580-649",tbl_loans_clean[[#This Row],[Credit_Score]]&lt;700,"650-699",tbl_loans_clean[[#This Row],[Credit_Score]]&lt;750,"700-749",TRUE,"750+")</f>
        <v>580-649</v>
      </c>
    </row>
    <row r="195" spans="1:15" x14ac:dyDescent="0.35">
      <c r="A195" t="s">
        <v>379</v>
      </c>
      <c r="B195" t="s">
        <v>28</v>
      </c>
      <c r="C195" t="s">
        <v>22</v>
      </c>
      <c r="D195" t="s">
        <v>43</v>
      </c>
      <c r="E195">
        <v>583328</v>
      </c>
      <c r="F195">
        <v>6.83</v>
      </c>
      <c r="G195">
        <v>48</v>
      </c>
      <c r="H195">
        <v>146128</v>
      </c>
      <c r="I195">
        <v>685</v>
      </c>
      <c r="J195" t="s">
        <v>18</v>
      </c>
      <c r="K195">
        <v>19.8</v>
      </c>
      <c r="L195">
        <v>25</v>
      </c>
      <c r="M195" t="s">
        <v>23</v>
      </c>
      <c r="N195" s="7">
        <v>44586</v>
      </c>
      <c r="O195" t="str" cm="1">
        <f t="array" ref="O195">_xlfn.IFS(tbl_loans_clean[[#This Row],[Credit_Score]]&lt;650,"580-649",tbl_loans_clean[[#This Row],[Credit_Score]]&lt;700,"650-699",tbl_loans_clean[[#This Row],[Credit_Score]]&lt;750,"700-749",TRUE,"750+")</f>
        <v>650-699</v>
      </c>
    </row>
    <row r="196" spans="1:15" x14ac:dyDescent="0.35">
      <c r="A196" t="s">
        <v>589</v>
      </c>
      <c r="B196" t="s">
        <v>28</v>
      </c>
      <c r="C196" t="s">
        <v>22</v>
      </c>
      <c r="D196" t="s">
        <v>17</v>
      </c>
      <c r="E196">
        <v>232135</v>
      </c>
      <c r="F196">
        <v>12.43</v>
      </c>
      <c r="G196">
        <v>60</v>
      </c>
      <c r="H196">
        <v>75645</v>
      </c>
      <c r="I196">
        <v>725</v>
      </c>
      <c r="J196" t="s">
        <v>18</v>
      </c>
      <c r="K196">
        <v>13.2</v>
      </c>
      <c r="L196">
        <v>19.2</v>
      </c>
      <c r="M196" t="s">
        <v>48</v>
      </c>
      <c r="N196" s="7">
        <v>44592</v>
      </c>
      <c r="O196" t="str" cm="1">
        <f t="array" ref="O196">_xlfn.IFS(tbl_loans_clean[[#This Row],[Credit_Score]]&lt;650,"580-649",tbl_loans_clean[[#This Row],[Credit_Score]]&lt;700,"650-699",tbl_loans_clean[[#This Row],[Credit_Score]]&lt;750,"700-749",TRUE,"750+")</f>
        <v>700-749</v>
      </c>
    </row>
    <row r="197" spans="1:15" x14ac:dyDescent="0.35">
      <c r="A197" t="s">
        <v>532</v>
      </c>
      <c r="B197" t="s">
        <v>15</v>
      </c>
      <c r="C197" t="s">
        <v>22</v>
      </c>
      <c r="D197" t="s">
        <v>38</v>
      </c>
      <c r="E197">
        <v>344384</v>
      </c>
      <c r="F197">
        <v>8.85</v>
      </c>
      <c r="G197">
        <v>60</v>
      </c>
      <c r="H197">
        <v>95163</v>
      </c>
      <c r="I197">
        <v>777</v>
      </c>
      <c r="J197" t="s">
        <v>18</v>
      </c>
      <c r="K197">
        <v>14.3</v>
      </c>
      <c r="L197">
        <v>31.6</v>
      </c>
      <c r="M197" t="s">
        <v>23</v>
      </c>
      <c r="N197" s="7">
        <v>44593</v>
      </c>
      <c r="O197" t="str" cm="1">
        <f t="array" ref="O197">_xlfn.IFS(tbl_loans_clean[[#This Row],[Credit_Score]]&lt;650,"580-649",tbl_loans_clean[[#This Row],[Credit_Score]]&lt;700,"650-699",tbl_loans_clean[[#This Row],[Credit_Score]]&lt;750,"700-749",TRUE,"750+")</f>
        <v>750+</v>
      </c>
    </row>
    <row r="198" spans="1:15" x14ac:dyDescent="0.35">
      <c r="A198" t="s">
        <v>78</v>
      </c>
      <c r="B198" t="s">
        <v>15</v>
      </c>
      <c r="C198" t="s">
        <v>16</v>
      </c>
      <c r="D198" t="s">
        <v>73</v>
      </c>
      <c r="E198">
        <v>561066</v>
      </c>
      <c r="F198">
        <v>12.61</v>
      </c>
      <c r="G198">
        <v>24</v>
      </c>
      <c r="H198">
        <v>175698</v>
      </c>
      <c r="I198">
        <v>692</v>
      </c>
      <c r="J198" t="s">
        <v>26</v>
      </c>
      <c r="K198">
        <v>9.6999999999999993</v>
      </c>
      <c r="L198">
        <v>44.9</v>
      </c>
      <c r="M198" t="s">
        <v>23</v>
      </c>
      <c r="N198" s="7">
        <v>44597</v>
      </c>
      <c r="O198" t="str" cm="1">
        <f t="array" ref="O198">_xlfn.IFS(tbl_loans_clean[[#This Row],[Credit_Score]]&lt;650,"580-649",tbl_loans_clean[[#This Row],[Credit_Score]]&lt;700,"650-699",tbl_loans_clean[[#This Row],[Credit_Score]]&lt;750,"700-749",TRUE,"750+")</f>
        <v>650-699</v>
      </c>
    </row>
    <row r="199" spans="1:15" x14ac:dyDescent="0.35">
      <c r="A199" t="s">
        <v>685</v>
      </c>
      <c r="B199" t="s">
        <v>30</v>
      </c>
      <c r="C199" t="s">
        <v>22</v>
      </c>
      <c r="D199" t="s">
        <v>52</v>
      </c>
      <c r="E199">
        <v>310505</v>
      </c>
      <c r="F199">
        <v>14.16</v>
      </c>
      <c r="G199">
        <v>12</v>
      </c>
      <c r="H199">
        <v>125206</v>
      </c>
      <c r="I199">
        <v>676</v>
      </c>
      <c r="J199" t="s">
        <v>26</v>
      </c>
      <c r="K199">
        <v>22.4</v>
      </c>
      <c r="L199">
        <v>35.1</v>
      </c>
      <c r="M199" t="s">
        <v>48</v>
      </c>
      <c r="N199" s="7">
        <v>44597</v>
      </c>
      <c r="O199" t="str" cm="1">
        <f t="array" ref="O199">_xlfn.IFS(tbl_loans_clean[[#This Row],[Credit_Score]]&lt;650,"580-649",tbl_loans_clean[[#This Row],[Credit_Score]]&lt;700,"650-699",tbl_loans_clean[[#This Row],[Credit_Score]]&lt;750,"700-749",TRUE,"750+")</f>
        <v>650-699</v>
      </c>
    </row>
    <row r="200" spans="1:15" x14ac:dyDescent="0.35">
      <c r="A200" t="s">
        <v>768</v>
      </c>
      <c r="B200" t="s">
        <v>30</v>
      </c>
      <c r="C200" t="s">
        <v>22</v>
      </c>
      <c r="D200" t="s">
        <v>43</v>
      </c>
      <c r="E200">
        <v>156538</v>
      </c>
      <c r="F200">
        <v>11.96</v>
      </c>
      <c r="G200">
        <v>300</v>
      </c>
      <c r="H200">
        <v>199277</v>
      </c>
      <c r="I200">
        <v>708</v>
      </c>
      <c r="J200" t="s">
        <v>18</v>
      </c>
      <c r="K200">
        <v>19.3</v>
      </c>
      <c r="L200">
        <v>43.9</v>
      </c>
      <c r="M200" t="s">
        <v>23</v>
      </c>
      <c r="N200" s="7">
        <v>44598</v>
      </c>
      <c r="O200" t="str" cm="1">
        <f t="array" ref="O200">_xlfn.IFS(tbl_loans_clean[[#This Row],[Credit_Score]]&lt;650,"580-649",tbl_loans_clean[[#This Row],[Credit_Score]]&lt;700,"650-699",tbl_loans_clean[[#This Row],[Credit_Score]]&lt;750,"700-749",TRUE,"750+")</f>
        <v>700-749</v>
      </c>
    </row>
    <row r="201" spans="1:15" x14ac:dyDescent="0.35">
      <c r="A201" t="s">
        <v>703</v>
      </c>
      <c r="B201" t="s">
        <v>110</v>
      </c>
      <c r="C201" t="s">
        <v>16</v>
      </c>
      <c r="D201" t="s">
        <v>45</v>
      </c>
      <c r="E201">
        <v>225462</v>
      </c>
      <c r="F201">
        <v>13.04</v>
      </c>
      <c r="G201">
        <v>24</v>
      </c>
      <c r="H201">
        <v>38785</v>
      </c>
      <c r="I201">
        <v>699</v>
      </c>
      <c r="J201" t="s">
        <v>18</v>
      </c>
      <c r="K201">
        <v>5.4</v>
      </c>
      <c r="L201">
        <v>25.9</v>
      </c>
      <c r="M201" t="s">
        <v>19</v>
      </c>
      <c r="N201" s="7">
        <v>44599</v>
      </c>
      <c r="O201" t="str" cm="1">
        <f t="array" ref="O201">_xlfn.IFS(tbl_loans_clean[[#This Row],[Credit_Score]]&lt;650,"580-649",tbl_loans_clean[[#This Row],[Credit_Score]]&lt;700,"650-699",tbl_loans_clean[[#This Row],[Credit_Score]]&lt;750,"700-749",TRUE,"750+")</f>
        <v>650-699</v>
      </c>
    </row>
    <row r="202" spans="1:15" x14ac:dyDescent="0.35">
      <c r="A202" t="s">
        <v>204</v>
      </c>
      <c r="B202" t="s">
        <v>15</v>
      </c>
      <c r="C202" t="s">
        <v>22</v>
      </c>
      <c r="D202" t="s">
        <v>32</v>
      </c>
      <c r="E202">
        <v>490662</v>
      </c>
      <c r="F202">
        <v>12.67</v>
      </c>
      <c r="G202">
        <v>12</v>
      </c>
      <c r="H202">
        <v>33867</v>
      </c>
      <c r="I202">
        <v>650</v>
      </c>
      <c r="J202" t="s">
        <v>26</v>
      </c>
      <c r="K202">
        <v>10.6</v>
      </c>
      <c r="L202">
        <v>32.5</v>
      </c>
      <c r="M202" t="s">
        <v>19</v>
      </c>
      <c r="N202" s="7">
        <v>44601</v>
      </c>
      <c r="O202" t="str" cm="1">
        <f t="array" ref="O202">_xlfn.IFS(tbl_loans_clean[[#This Row],[Credit_Score]]&lt;650,"580-649",tbl_loans_clean[[#This Row],[Credit_Score]]&lt;700,"650-699",tbl_loans_clean[[#This Row],[Credit_Score]]&lt;750,"700-749",TRUE,"750+")</f>
        <v>650-699</v>
      </c>
    </row>
    <row r="203" spans="1:15" x14ac:dyDescent="0.35">
      <c r="A203" t="s">
        <v>558</v>
      </c>
      <c r="B203" t="s">
        <v>15</v>
      </c>
      <c r="C203" t="s">
        <v>16</v>
      </c>
      <c r="D203" t="s">
        <v>32</v>
      </c>
      <c r="E203">
        <v>564351</v>
      </c>
      <c r="F203">
        <v>6.33</v>
      </c>
      <c r="G203">
        <v>12</v>
      </c>
      <c r="H203">
        <v>163675</v>
      </c>
      <c r="I203">
        <v>776</v>
      </c>
      <c r="J203" t="s">
        <v>39</v>
      </c>
      <c r="K203">
        <v>22</v>
      </c>
      <c r="L203">
        <v>40.799999999999997</v>
      </c>
      <c r="M203" t="s">
        <v>19</v>
      </c>
      <c r="N203" s="7">
        <v>44603</v>
      </c>
      <c r="O203" t="str" cm="1">
        <f t="array" ref="O203">_xlfn.IFS(tbl_loans_clean[[#This Row],[Credit_Score]]&lt;650,"580-649",tbl_loans_clean[[#This Row],[Credit_Score]]&lt;700,"650-699",tbl_loans_clean[[#This Row],[Credit_Score]]&lt;750,"700-749",TRUE,"750+")</f>
        <v>750+</v>
      </c>
    </row>
    <row r="204" spans="1:15" x14ac:dyDescent="0.35">
      <c r="A204" t="s">
        <v>192</v>
      </c>
      <c r="B204" t="s">
        <v>30</v>
      </c>
      <c r="C204" t="s">
        <v>16</v>
      </c>
      <c r="D204" t="s">
        <v>17</v>
      </c>
      <c r="E204">
        <v>269528</v>
      </c>
      <c r="F204">
        <v>3.36</v>
      </c>
      <c r="G204">
        <v>240</v>
      </c>
      <c r="H204">
        <v>201904</v>
      </c>
      <c r="I204">
        <v>611</v>
      </c>
      <c r="J204" t="s">
        <v>26</v>
      </c>
      <c r="K204">
        <v>21.8</v>
      </c>
      <c r="L204">
        <v>12.5</v>
      </c>
      <c r="M204" t="s">
        <v>48</v>
      </c>
      <c r="N204" s="7">
        <v>44605</v>
      </c>
      <c r="O204" t="str" cm="1">
        <f t="array" ref="O204">_xlfn.IFS(tbl_loans_clean[[#This Row],[Credit_Score]]&lt;650,"580-649",tbl_loans_clean[[#This Row],[Credit_Score]]&lt;700,"650-699",tbl_loans_clean[[#This Row],[Credit_Score]]&lt;750,"700-749",TRUE,"750+")</f>
        <v>580-649</v>
      </c>
    </row>
    <row r="205" spans="1:15" x14ac:dyDescent="0.35">
      <c r="A205" t="s">
        <v>579</v>
      </c>
      <c r="B205" t="s">
        <v>30</v>
      </c>
      <c r="C205" t="s">
        <v>16</v>
      </c>
      <c r="D205" t="s">
        <v>38</v>
      </c>
      <c r="E205">
        <v>160344</v>
      </c>
      <c r="F205">
        <v>3.54</v>
      </c>
      <c r="G205">
        <v>240</v>
      </c>
      <c r="H205">
        <v>109441</v>
      </c>
      <c r="I205">
        <v>800</v>
      </c>
      <c r="J205" t="s">
        <v>26</v>
      </c>
      <c r="K205">
        <v>13.8</v>
      </c>
      <c r="L205">
        <v>11</v>
      </c>
      <c r="M205" t="s">
        <v>23</v>
      </c>
      <c r="N205" s="7">
        <v>44606</v>
      </c>
      <c r="O205" t="str" cm="1">
        <f t="array" ref="O205">_xlfn.IFS(tbl_loans_clean[[#This Row],[Credit_Score]]&lt;650,"580-649",tbl_loans_clean[[#This Row],[Credit_Score]]&lt;700,"650-699",tbl_loans_clean[[#This Row],[Credit_Score]]&lt;750,"700-749",TRUE,"750+")</f>
        <v>750+</v>
      </c>
    </row>
    <row r="206" spans="1:15" x14ac:dyDescent="0.35">
      <c r="A206" t="s">
        <v>727</v>
      </c>
      <c r="B206" t="s">
        <v>15</v>
      </c>
      <c r="C206" t="s">
        <v>22</v>
      </c>
      <c r="D206" t="s">
        <v>17</v>
      </c>
      <c r="E206">
        <v>330497</v>
      </c>
      <c r="F206">
        <v>7.7</v>
      </c>
      <c r="G206">
        <v>60</v>
      </c>
      <c r="H206">
        <v>143375</v>
      </c>
      <c r="I206">
        <v>621</v>
      </c>
      <c r="J206" t="s">
        <v>39</v>
      </c>
      <c r="K206">
        <v>19.2</v>
      </c>
      <c r="L206">
        <v>16.3</v>
      </c>
      <c r="M206" t="s">
        <v>55</v>
      </c>
      <c r="N206" s="7">
        <v>44608</v>
      </c>
      <c r="O206" t="str" cm="1">
        <f t="array" ref="O206">_xlfn.IFS(tbl_loans_clean[[#This Row],[Credit_Score]]&lt;650,"580-649",tbl_loans_clean[[#This Row],[Credit_Score]]&lt;700,"650-699",tbl_loans_clean[[#This Row],[Credit_Score]]&lt;750,"700-749",TRUE,"750+")</f>
        <v>580-649</v>
      </c>
    </row>
    <row r="207" spans="1:15" x14ac:dyDescent="0.35">
      <c r="A207" t="s">
        <v>634</v>
      </c>
      <c r="B207" t="s">
        <v>30</v>
      </c>
      <c r="C207" t="s">
        <v>22</v>
      </c>
      <c r="D207" t="s">
        <v>45</v>
      </c>
      <c r="E207">
        <v>592515</v>
      </c>
      <c r="F207">
        <v>4.13</v>
      </c>
      <c r="G207">
        <v>24</v>
      </c>
      <c r="H207">
        <v>40940</v>
      </c>
      <c r="I207">
        <v>703</v>
      </c>
      <c r="J207" t="s">
        <v>26</v>
      </c>
      <c r="K207">
        <v>22.7</v>
      </c>
      <c r="L207">
        <v>14.6</v>
      </c>
      <c r="M207" t="s">
        <v>23</v>
      </c>
      <c r="N207" s="7">
        <v>44609</v>
      </c>
      <c r="O207" t="str" cm="1">
        <f t="array" ref="O207">_xlfn.IFS(tbl_loans_clean[[#This Row],[Credit_Score]]&lt;650,"580-649",tbl_loans_clean[[#This Row],[Credit_Score]]&lt;700,"650-699",tbl_loans_clean[[#This Row],[Credit_Score]]&lt;750,"700-749",TRUE,"750+")</f>
        <v>700-749</v>
      </c>
    </row>
    <row r="208" spans="1:15" x14ac:dyDescent="0.35">
      <c r="A208" t="s">
        <v>387</v>
      </c>
      <c r="B208" t="s">
        <v>28</v>
      </c>
      <c r="C208" t="s">
        <v>34</v>
      </c>
      <c r="D208" t="s">
        <v>32</v>
      </c>
      <c r="E208">
        <v>313112</v>
      </c>
      <c r="F208">
        <v>10.62</v>
      </c>
      <c r="G208">
        <v>300</v>
      </c>
      <c r="H208">
        <v>97453</v>
      </c>
      <c r="I208">
        <v>817</v>
      </c>
      <c r="J208" t="s">
        <v>35</v>
      </c>
      <c r="K208">
        <v>6.3</v>
      </c>
      <c r="L208">
        <v>43.8</v>
      </c>
      <c r="M208" t="s">
        <v>23</v>
      </c>
      <c r="N208" s="7">
        <v>44614</v>
      </c>
      <c r="O208" t="str" cm="1">
        <f t="array" ref="O208">_xlfn.IFS(tbl_loans_clean[[#This Row],[Credit_Score]]&lt;650,"580-649",tbl_loans_clean[[#This Row],[Credit_Score]]&lt;700,"650-699",tbl_loans_clean[[#This Row],[Credit_Score]]&lt;750,"700-749",TRUE,"750+")</f>
        <v>750+</v>
      </c>
    </row>
    <row r="209" spans="1:15" x14ac:dyDescent="0.35">
      <c r="A209" t="s">
        <v>239</v>
      </c>
      <c r="B209" t="s">
        <v>37</v>
      </c>
      <c r="C209" t="s">
        <v>34</v>
      </c>
      <c r="D209" t="s">
        <v>17</v>
      </c>
      <c r="E209">
        <v>405511</v>
      </c>
      <c r="F209">
        <v>3.83</v>
      </c>
      <c r="G209">
        <v>300</v>
      </c>
      <c r="H209">
        <v>64483</v>
      </c>
      <c r="I209">
        <v>745</v>
      </c>
      <c r="J209" t="s">
        <v>26</v>
      </c>
      <c r="K209">
        <v>21</v>
      </c>
      <c r="L209">
        <v>42.1</v>
      </c>
      <c r="M209" t="s">
        <v>23</v>
      </c>
      <c r="N209" s="7">
        <v>44615</v>
      </c>
      <c r="O209" t="str" cm="1">
        <f t="array" ref="O209">_xlfn.IFS(tbl_loans_clean[[#This Row],[Credit_Score]]&lt;650,"580-649",tbl_loans_clean[[#This Row],[Credit_Score]]&lt;700,"650-699",tbl_loans_clean[[#This Row],[Credit_Score]]&lt;750,"700-749",TRUE,"750+")</f>
        <v>700-749</v>
      </c>
    </row>
    <row r="210" spans="1:15" x14ac:dyDescent="0.35">
      <c r="A210" t="s">
        <v>456</v>
      </c>
      <c r="B210" t="s">
        <v>28</v>
      </c>
      <c r="C210" t="s">
        <v>16</v>
      </c>
      <c r="D210" t="s">
        <v>32</v>
      </c>
      <c r="E210">
        <v>712173</v>
      </c>
      <c r="F210">
        <v>7.36</v>
      </c>
      <c r="G210">
        <v>36</v>
      </c>
      <c r="H210">
        <v>214443</v>
      </c>
      <c r="I210">
        <v>604</v>
      </c>
      <c r="J210" t="s">
        <v>26</v>
      </c>
      <c r="K210">
        <v>8.3000000000000007</v>
      </c>
      <c r="L210">
        <v>41.5</v>
      </c>
      <c r="M210" t="s">
        <v>19</v>
      </c>
      <c r="N210" s="7">
        <v>44626</v>
      </c>
      <c r="O210" t="str" cm="1">
        <f t="array" ref="O210">_xlfn.IFS(tbl_loans_clean[[#This Row],[Credit_Score]]&lt;650,"580-649",tbl_loans_clean[[#This Row],[Credit_Score]]&lt;700,"650-699",tbl_loans_clean[[#This Row],[Credit_Score]]&lt;750,"700-749",TRUE,"750+")</f>
        <v>580-649</v>
      </c>
    </row>
    <row r="211" spans="1:15" x14ac:dyDescent="0.35">
      <c r="A211" t="s">
        <v>723</v>
      </c>
      <c r="B211" t="s">
        <v>30</v>
      </c>
      <c r="C211" t="s">
        <v>22</v>
      </c>
      <c r="D211" t="s">
        <v>17</v>
      </c>
      <c r="E211">
        <v>246133</v>
      </c>
      <c r="F211">
        <v>8.06</v>
      </c>
      <c r="G211">
        <v>24</v>
      </c>
      <c r="H211">
        <v>152069</v>
      </c>
      <c r="I211">
        <v>780</v>
      </c>
      <c r="J211" t="s">
        <v>18</v>
      </c>
      <c r="K211">
        <v>3.2</v>
      </c>
      <c r="L211">
        <v>40.4</v>
      </c>
      <c r="M211" t="s">
        <v>19</v>
      </c>
      <c r="N211" s="7">
        <v>44626</v>
      </c>
      <c r="O211" t="str" cm="1">
        <f t="array" ref="O211">_xlfn.IFS(tbl_loans_clean[[#This Row],[Credit_Score]]&lt;650,"580-649",tbl_loans_clean[[#This Row],[Credit_Score]]&lt;700,"650-699",tbl_loans_clean[[#This Row],[Credit_Score]]&lt;750,"700-749",TRUE,"750+")</f>
        <v>750+</v>
      </c>
    </row>
    <row r="212" spans="1:15" x14ac:dyDescent="0.35">
      <c r="A212" t="s">
        <v>793</v>
      </c>
      <c r="B212" t="s">
        <v>71</v>
      </c>
      <c r="C212" t="s">
        <v>16</v>
      </c>
      <c r="D212" t="s">
        <v>73</v>
      </c>
      <c r="E212">
        <v>377282</v>
      </c>
      <c r="F212">
        <v>4.09</v>
      </c>
      <c r="G212">
        <v>240</v>
      </c>
      <c r="H212">
        <v>169215</v>
      </c>
      <c r="I212">
        <v>783</v>
      </c>
      <c r="J212" t="s">
        <v>26</v>
      </c>
      <c r="K212">
        <v>19.2</v>
      </c>
      <c r="L212">
        <v>20.6</v>
      </c>
      <c r="M212" t="s">
        <v>23</v>
      </c>
      <c r="N212" s="7">
        <v>44628</v>
      </c>
      <c r="O212" t="str" cm="1">
        <f t="array" ref="O212">_xlfn.IFS(tbl_loans_clean[[#This Row],[Credit_Score]]&lt;650,"580-649",tbl_loans_clean[[#This Row],[Credit_Score]]&lt;700,"650-699",tbl_loans_clean[[#This Row],[Credit_Score]]&lt;750,"700-749",TRUE,"750+")</f>
        <v>750+</v>
      </c>
    </row>
    <row r="213" spans="1:15" x14ac:dyDescent="0.35">
      <c r="A213" t="s">
        <v>692</v>
      </c>
      <c r="B213" t="s">
        <v>30</v>
      </c>
      <c r="C213" t="s">
        <v>22</v>
      </c>
      <c r="D213" t="s">
        <v>17</v>
      </c>
      <c r="E213">
        <v>394770</v>
      </c>
      <c r="F213">
        <v>9.49</v>
      </c>
      <c r="G213">
        <v>24</v>
      </c>
      <c r="H213">
        <v>54928</v>
      </c>
      <c r="I213">
        <v>650</v>
      </c>
      <c r="J213" t="s">
        <v>18</v>
      </c>
      <c r="K213">
        <v>0.9</v>
      </c>
      <c r="L213">
        <v>33.799999999999997</v>
      </c>
      <c r="M213" t="s">
        <v>23</v>
      </c>
      <c r="N213" s="7">
        <v>44630</v>
      </c>
      <c r="O213" t="str" cm="1">
        <f t="array" ref="O213">_xlfn.IFS(tbl_loans_clean[[#This Row],[Credit_Score]]&lt;650,"580-649",tbl_loans_clean[[#This Row],[Credit_Score]]&lt;700,"650-699",tbl_loans_clean[[#This Row],[Credit_Score]]&lt;750,"700-749",TRUE,"750+")</f>
        <v>650-699</v>
      </c>
    </row>
    <row r="214" spans="1:15" x14ac:dyDescent="0.35">
      <c r="A214" t="s">
        <v>518</v>
      </c>
      <c r="B214" t="s">
        <v>30</v>
      </c>
      <c r="C214" t="s">
        <v>22</v>
      </c>
      <c r="D214" t="s">
        <v>17</v>
      </c>
      <c r="E214">
        <v>147980</v>
      </c>
      <c r="F214">
        <v>5.59</v>
      </c>
      <c r="G214">
        <v>48</v>
      </c>
      <c r="H214">
        <v>29073</v>
      </c>
      <c r="I214">
        <v>611</v>
      </c>
      <c r="J214" t="s">
        <v>18</v>
      </c>
      <c r="K214">
        <v>24</v>
      </c>
      <c r="L214">
        <v>33.6</v>
      </c>
      <c r="M214" t="s">
        <v>55</v>
      </c>
      <c r="N214" s="7">
        <v>44631</v>
      </c>
      <c r="O214" t="str" cm="1">
        <f t="array" ref="O214">_xlfn.IFS(tbl_loans_clean[[#This Row],[Credit_Score]]&lt;650,"580-649",tbl_loans_clean[[#This Row],[Credit_Score]]&lt;700,"650-699",tbl_loans_clean[[#This Row],[Credit_Score]]&lt;750,"700-749",TRUE,"750+")</f>
        <v>580-649</v>
      </c>
    </row>
    <row r="215" spans="1:15" x14ac:dyDescent="0.35">
      <c r="A215" t="s">
        <v>821</v>
      </c>
      <c r="B215" t="s">
        <v>28</v>
      </c>
      <c r="C215" t="s">
        <v>16</v>
      </c>
      <c r="D215" t="s">
        <v>38</v>
      </c>
      <c r="E215">
        <v>203522</v>
      </c>
      <c r="F215">
        <v>5.6</v>
      </c>
      <c r="G215">
        <v>120</v>
      </c>
      <c r="H215">
        <v>175032</v>
      </c>
      <c r="I215">
        <v>624</v>
      </c>
      <c r="J215" t="s">
        <v>39</v>
      </c>
      <c r="K215">
        <v>7.1</v>
      </c>
      <c r="L215">
        <v>24.5</v>
      </c>
      <c r="M215" t="s">
        <v>23</v>
      </c>
      <c r="N215" s="7">
        <v>44632</v>
      </c>
      <c r="O215" t="str" cm="1">
        <f t="array" ref="O215">_xlfn.IFS(tbl_loans_clean[[#This Row],[Credit_Score]]&lt;650,"580-649",tbl_loans_clean[[#This Row],[Credit_Score]]&lt;700,"650-699",tbl_loans_clean[[#This Row],[Credit_Score]]&lt;750,"700-749",TRUE,"750+")</f>
        <v>580-649</v>
      </c>
    </row>
    <row r="216" spans="1:15" x14ac:dyDescent="0.35">
      <c r="A216" t="s">
        <v>413</v>
      </c>
      <c r="B216" t="s">
        <v>30</v>
      </c>
      <c r="C216" t="s">
        <v>34</v>
      </c>
      <c r="D216" t="s">
        <v>43</v>
      </c>
      <c r="E216">
        <v>123581</v>
      </c>
      <c r="F216">
        <v>11.77</v>
      </c>
      <c r="G216">
        <v>120</v>
      </c>
      <c r="H216">
        <v>218944</v>
      </c>
      <c r="I216">
        <v>829</v>
      </c>
      <c r="J216" t="s">
        <v>26</v>
      </c>
      <c r="K216">
        <v>13.5</v>
      </c>
      <c r="L216">
        <v>24.6</v>
      </c>
      <c r="M216" t="s">
        <v>55</v>
      </c>
      <c r="N216" s="7">
        <v>44636</v>
      </c>
      <c r="O216" t="str" cm="1">
        <f t="array" ref="O216">_xlfn.IFS(tbl_loans_clean[[#This Row],[Credit_Score]]&lt;650,"580-649",tbl_loans_clean[[#This Row],[Credit_Score]]&lt;700,"650-699",tbl_loans_clean[[#This Row],[Credit_Score]]&lt;750,"700-749",TRUE,"750+")</f>
        <v>750+</v>
      </c>
    </row>
    <row r="217" spans="1:15" x14ac:dyDescent="0.35">
      <c r="A217" t="s">
        <v>660</v>
      </c>
      <c r="B217" t="s">
        <v>25</v>
      </c>
      <c r="C217" t="s">
        <v>22</v>
      </c>
      <c r="D217" t="s">
        <v>43</v>
      </c>
      <c r="E217">
        <v>637413</v>
      </c>
      <c r="F217">
        <v>7.8</v>
      </c>
      <c r="G217">
        <v>48</v>
      </c>
      <c r="H217">
        <v>31084</v>
      </c>
      <c r="I217">
        <v>621</v>
      </c>
      <c r="J217" t="s">
        <v>39</v>
      </c>
      <c r="K217">
        <v>12.6</v>
      </c>
      <c r="L217">
        <v>38.799999999999997</v>
      </c>
      <c r="M217" t="s">
        <v>23</v>
      </c>
      <c r="N217" s="7">
        <v>44640</v>
      </c>
      <c r="O217" t="str" cm="1">
        <f t="array" ref="O217">_xlfn.IFS(tbl_loans_clean[[#This Row],[Credit_Score]]&lt;650,"580-649",tbl_loans_clean[[#This Row],[Credit_Score]]&lt;700,"650-699",tbl_loans_clean[[#This Row],[Credit_Score]]&lt;750,"700-749",TRUE,"750+")</f>
        <v>580-649</v>
      </c>
    </row>
    <row r="218" spans="1:15" x14ac:dyDescent="0.35">
      <c r="A218" t="s">
        <v>631</v>
      </c>
      <c r="B218" t="s">
        <v>30</v>
      </c>
      <c r="C218" t="s">
        <v>22</v>
      </c>
      <c r="D218" t="s">
        <v>45</v>
      </c>
      <c r="E218">
        <v>375858</v>
      </c>
      <c r="F218">
        <v>10.25</v>
      </c>
      <c r="G218">
        <v>240</v>
      </c>
      <c r="H218">
        <v>117385</v>
      </c>
      <c r="I218">
        <v>793</v>
      </c>
      <c r="J218" t="s">
        <v>18</v>
      </c>
      <c r="K218">
        <v>4.2</v>
      </c>
      <c r="L218">
        <v>21.3</v>
      </c>
      <c r="M218" t="s">
        <v>23</v>
      </c>
      <c r="N218" s="7">
        <v>44643</v>
      </c>
      <c r="O218" t="str" cm="1">
        <f t="array" ref="O218">_xlfn.IFS(tbl_loans_clean[[#This Row],[Credit_Score]]&lt;650,"580-649",tbl_loans_clean[[#This Row],[Credit_Score]]&lt;700,"650-699",tbl_loans_clean[[#This Row],[Credit_Score]]&lt;750,"700-749",TRUE,"750+")</f>
        <v>750+</v>
      </c>
    </row>
    <row r="219" spans="1:15" x14ac:dyDescent="0.35">
      <c r="A219" t="s">
        <v>155</v>
      </c>
      <c r="B219" t="s">
        <v>28</v>
      </c>
      <c r="C219" t="s">
        <v>16</v>
      </c>
      <c r="D219" t="s">
        <v>17</v>
      </c>
      <c r="E219">
        <v>543181</v>
      </c>
      <c r="F219">
        <v>11.52</v>
      </c>
      <c r="G219">
        <v>12</v>
      </c>
      <c r="H219">
        <v>110666</v>
      </c>
      <c r="I219">
        <v>719</v>
      </c>
      <c r="J219" t="s">
        <v>26</v>
      </c>
      <c r="K219">
        <v>8.9</v>
      </c>
      <c r="L219">
        <v>42.4</v>
      </c>
      <c r="M219" t="s">
        <v>23</v>
      </c>
      <c r="N219" s="7">
        <v>44644</v>
      </c>
      <c r="O219" t="str" cm="1">
        <f t="array" ref="O219">_xlfn.IFS(tbl_loans_clean[[#This Row],[Credit_Score]]&lt;650,"580-649",tbl_loans_clean[[#This Row],[Credit_Score]]&lt;700,"650-699",tbl_loans_clean[[#This Row],[Credit_Score]]&lt;750,"700-749",TRUE,"750+")</f>
        <v>700-749</v>
      </c>
    </row>
    <row r="220" spans="1:15" x14ac:dyDescent="0.35">
      <c r="A220" t="s">
        <v>479</v>
      </c>
      <c r="B220" t="s">
        <v>25</v>
      </c>
      <c r="C220" t="s">
        <v>22</v>
      </c>
      <c r="D220" t="s">
        <v>17</v>
      </c>
      <c r="E220">
        <v>253552</v>
      </c>
      <c r="F220">
        <v>6.89</v>
      </c>
      <c r="G220">
        <v>300</v>
      </c>
      <c r="H220">
        <v>204111</v>
      </c>
      <c r="I220">
        <v>773</v>
      </c>
      <c r="J220" t="s">
        <v>18</v>
      </c>
      <c r="K220">
        <v>1.8</v>
      </c>
      <c r="L220">
        <v>40.299999999999997</v>
      </c>
      <c r="M220" t="s">
        <v>23</v>
      </c>
      <c r="N220" s="7">
        <v>44644</v>
      </c>
      <c r="O220" t="str" cm="1">
        <f t="array" ref="O220">_xlfn.IFS(tbl_loans_clean[[#This Row],[Credit_Score]]&lt;650,"580-649",tbl_loans_clean[[#This Row],[Credit_Score]]&lt;700,"650-699",tbl_loans_clean[[#This Row],[Credit_Score]]&lt;750,"700-749",TRUE,"750+")</f>
        <v>750+</v>
      </c>
    </row>
    <row r="221" spans="1:15" x14ac:dyDescent="0.35">
      <c r="A221" t="s">
        <v>676</v>
      </c>
      <c r="B221" t="s">
        <v>30</v>
      </c>
      <c r="C221" t="s">
        <v>22</v>
      </c>
      <c r="D221" t="s">
        <v>45</v>
      </c>
      <c r="E221">
        <v>117492</v>
      </c>
      <c r="F221">
        <v>4.8</v>
      </c>
      <c r="G221">
        <v>12</v>
      </c>
      <c r="H221">
        <v>159965</v>
      </c>
      <c r="I221">
        <v>637</v>
      </c>
      <c r="J221" t="s">
        <v>26</v>
      </c>
      <c r="K221">
        <v>5.2</v>
      </c>
      <c r="L221">
        <v>37.9</v>
      </c>
      <c r="M221" t="s">
        <v>23</v>
      </c>
      <c r="N221" s="7">
        <v>44648</v>
      </c>
      <c r="O221" t="str" cm="1">
        <f t="array" ref="O221">_xlfn.IFS(tbl_loans_clean[[#This Row],[Credit_Score]]&lt;650,"580-649",tbl_loans_clean[[#This Row],[Credit_Score]]&lt;700,"650-699",tbl_loans_clean[[#This Row],[Credit_Score]]&lt;750,"700-749",TRUE,"750+")</f>
        <v>580-649</v>
      </c>
    </row>
    <row r="222" spans="1:15" x14ac:dyDescent="0.35">
      <c r="A222" t="s">
        <v>100</v>
      </c>
      <c r="B222" t="s">
        <v>15</v>
      </c>
      <c r="C222" t="s">
        <v>16</v>
      </c>
      <c r="D222" t="s">
        <v>45</v>
      </c>
      <c r="E222">
        <v>736478</v>
      </c>
      <c r="F222">
        <v>13.87</v>
      </c>
      <c r="G222">
        <v>48</v>
      </c>
      <c r="H222">
        <v>146920</v>
      </c>
      <c r="I222">
        <v>758</v>
      </c>
      <c r="J222" t="s">
        <v>39</v>
      </c>
      <c r="K222">
        <v>16.8</v>
      </c>
      <c r="L222">
        <v>24.3</v>
      </c>
      <c r="M222" t="s">
        <v>19</v>
      </c>
      <c r="N222" s="7">
        <v>44651</v>
      </c>
      <c r="O222" t="str" cm="1">
        <f t="array" ref="O222">_xlfn.IFS(tbl_loans_clean[[#This Row],[Credit_Score]]&lt;650,"580-649",tbl_loans_clean[[#This Row],[Credit_Score]]&lt;700,"650-699",tbl_loans_clean[[#This Row],[Credit_Score]]&lt;750,"700-749",TRUE,"750+")</f>
        <v>750+</v>
      </c>
    </row>
    <row r="223" spans="1:15" x14ac:dyDescent="0.35">
      <c r="A223" t="s">
        <v>172</v>
      </c>
      <c r="B223" t="s">
        <v>30</v>
      </c>
      <c r="C223" t="s">
        <v>34</v>
      </c>
      <c r="D223" t="s">
        <v>45</v>
      </c>
      <c r="E223">
        <v>149063</v>
      </c>
      <c r="F223">
        <v>4.3499999999999996</v>
      </c>
      <c r="G223">
        <v>240</v>
      </c>
      <c r="H223">
        <v>63315</v>
      </c>
      <c r="I223">
        <v>798</v>
      </c>
      <c r="J223" t="s">
        <v>26</v>
      </c>
      <c r="K223">
        <v>6.2</v>
      </c>
      <c r="L223">
        <v>38.799999999999997</v>
      </c>
      <c r="M223" t="s">
        <v>23</v>
      </c>
      <c r="N223" s="7">
        <v>44656</v>
      </c>
      <c r="O223" t="str" cm="1">
        <f t="array" ref="O223">_xlfn.IFS(tbl_loans_clean[[#This Row],[Credit_Score]]&lt;650,"580-649",tbl_loans_clean[[#This Row],[Credit_Score]]&lt;700,"650-699",tbl_loans_clean[[#This Row],[Credit_Score]]&lt;750,"700-749",TRUE,"750+")</f>
        <v>750+</v>
      </c>
    </row>
    <row r="224" spans="1:15" x14ac:dyDescent="0.35">
      <c r="A224" t="s">
        <v>535</v>
      </c>
      <c r="B224" t="s">
        <v>30</v>
      </c>
      <c r="C224" t="s">
        <v>16</v>
      </c>
      <c r="D224" t="s">
        <v>32</v>
      </c>
      <c r="E224">
        <v>313617</v>
      </c>
      <c r="F224">
        <v>10.53</v>
      </c>
      <c r="G224">
        <v>24</v>
      </c>
      <c r="H224">
        <v>189304</v>
      </c>
      <c r="I224">
        <v>687</v>
      </c>
      <c r="J224" t="s">
        <v>18</v>
      </c>
      <c r="K224">
        <v>24.9</v>
      </c>
      <c r="L224">
        <v>9.9</v>
      </c>
      <c r="M224" t="s">
        <v>19</v>
      </c>
      <c r="N224" s="7">
        <v>44656</v>
      </c>
      <c r="O224" t="str" cm="1">
        <f t="array" ref="O224">_xlfn.IFS(tbl_loans_clean[[#This Row],[Credit_Score]]&lt;650,"580-649",tbl_loans_clean[[#This Row],[Credit_Score]]&lt;700,"650-699",tbl_loans_clean[[#This Row],[Credit_Score]]&lt;750,"700-749",TRUE,"750+")</f>
        <v>650-699</v>
      </c>
    </row>
    <row r="225" spans="1:15" x14ac:dyDescent="0.35">
      <c r="A225" t="s">
        <v>608</v>
      </c>
      <c r="B225" t="s">
        <v>15</v>
      </c>
      <c r="C225" t="s">
        <v>16</v>
      </c>
      <c r="D225" t="s">
        <v>45</v>
      </c>
      <c r="E225">
        <v>60745</v>
      </c>
      <c r="F225">
        <v>6.89</v>
      </c>
      <c r="G225">
        <v>120</v>
      </c>
      <c r="H225">
        <v>165080</v>
      </c>
      <c r="I225">
        <v>749</v>
      </c>
      <c r="J225" t="s">
        <v>18</v>
      </c>
      <c r="K225">
        <v>21.5</v>
      </c>
      <c r="L225">
        <v>46.8</v>
      </c>
      <c r="M225" t="s">
        <v>19</v>
      </c>
      <c r="N225" s="7">
        <v>44658</v>
      </c>
      <c r="O225" t="str" cm="1">
        <f t="array" ref="O225">_xlfn.IFS(tbl_loans_clean[[#This Row],[Credit_Score]]&lt;650,"580-649",tbl_loans_clean[[#This Row],[Credit_Score]]&lt;700,"650-699",tbl_loans_clean[[#This Row],[Credit_Score]]&lt;750,"700-749",TRUE,"750+")</f>
        <v>700-749</v>
      </c>
    </row>
    <row r="226" spans="1:15" x14ac:dyDescent="0.35">
      <c r="A226" t="s">
        <v>453</v>
      </c>
      <c r="B226" t="s">
        <v>21</v>
      </c>
      <c r="C226" t="s">
        <v>22</v>
      </c>
      <c r="D226" t="s">
        <v>17</v>
      </c>
      <c r="E226">
        <v>299025</v>
      </c>
      <c r="F226">
        <v>5.32</v>
      </c>
      <c r="G226">
        <v>24</v>
      </c>
      <c r="H226">
        <v>133973</v>
      </c>
      <c r="I226">
        <v>759</v>
      </c>
      <c r="J226" t="s">
        <v>18</v>
      </c>
      <c r="K226">
        <v>18.7</v>
      </c>
      <c r="L226">
        <v>22.7</v>
      </c>
      <c r="M226" t="s">
        <v>23</v>
      </c>
      <c r="N226" s="7">
        <v>44659</v>
      </c>
      <c r="O226" t="str" cm="1">
        <f t="array" ref="O226">_xlfn.IFS(tbl_loans_clean[[#This Row],[Credit_Score]]&lt;650,"580-649",tbl_loans_clean[[#This Row],[Credit_Score]]&lt;700,"650-699",tbl_loans_clean[[#This Row],[Credit_Score]]&lt;750,"700-749",TRUE,"750+")</f>
        <v>750+</v>
      </c>
    </row>
    <row r="227" spans="1:15" x14ac:dyDescent="0.35">
      <c r="A227" t="s">
        <v>82</v>
      </c>
      <c r="B227" t="s">
        <v>83</v>
      </c>
      <c r="C227" t="s">
        <v>34</v>
      </c>
      <c r="D227" t="s">
        <v>45</v>
      </c>
      <c r="E227">
        <v>548088</v>
      </c>
      <c r="F227">
        <v>3.79</v>
      </c>
      <c r="G227">
        <v>60</v>
      </c>
      <c r="H227">
        <v>165900</v>
      </c>
      <c r="I227">
        <v>658</v>
      </c>
      <c r="J227" t="s">
        <v>18</v>
      </c>
      <c r="K227">
        <v>22</v>
      </c>
      <c r="L227">
        <v>31.7</v>
      </c>
      <c r="M227" t="s">
        <v>55</v>
      </c>
      <c r="N227" s="7">
        <v>44663</v>
      </c>
      <c r="O227" t="str" cm="1">
        <f t="array" ref="O227">_xlfn.IFS(tbl_loans_clean[[#This Row],[Credit_Score]]&lt;650,"580-649",tbl_loans_clean[[#This Row],[Credit_Score]]&lt;700,"650-699",tbl_loans_clean[[#This Row],[Credit_Score]]&lt;750,"700-749",TRUE,"750+")</f>
        <v>650-699</v>
      </c>
    </row>
    <row r="228" spans="1:15" x14ac:dyDescent="0.35">
      <c r="A228" t="s">
        <v>33</v>
      </c>
      <c r="B228" t="s">
        <v>30</v>
      </c>
      <c r="C228" t="s">
        <v>34</v>
      </c>
      <c r="D228" t="s">
        <v>17</v>
      </c>
      <c r="E228">
        <v>399145</v>
      </c>
      <c r="F228">
        <v>12.08</v>
      </c>
      <c r="G228">
        <v>12</v>
      </c>
      <c r="H228">
        <v>101290</v>
      </c>
      <c r="I228">
        <v>780</v>
      </c>
      <c r="J228" t="s">
        <v>35</v>
      </c>
      <c r="K228">
        <v>20.9</v>
      </c>
      <c r="L228">
        <v>44</v>
      </c>
      <c r="M228" t="s">
        <v>23</v>
      </c>
      <c r="N228" s="7">
        <v>44670</v>
      </c>
      <c r="O228" t="str" cm="1">
        <f t="array" ref="O228">_xlfn.IFS(tbl_loans_clean[[#This Row],[Credit_Score]]&lt;650,"580-649",tbl_loans_clean[[#This Row],[Credit_Score]]&lt;700,"650-699",tbl_loans_clean[[#This Row],[Credit_Score]]&lt;750,"700-749",TRUE,"750+")</f>
        <v>750+</v>
      </c>
    </row>
    <row r="229" spans="1:15" x14ac:dyDescent="0.35">
      <c r="A229" t="s">
        <v>187</v>
      </c>
      <c r="B229" t="s">
        <v>28</v>
      </c>
      <c r="C229" t="s">
        <v>22</v>
      </c>
      <c r="D229" t="s">
        <v>17</v>
      </c>
      <c r="E229">
        <v>713770</v>
      </c>
      <c r="F229">
        <v>11.27</v>
      </c>
      <c r="G229">
        <v>12</v>
      </c>
      <c r="H229">
        <v>39350</v>
      </c>
      <c r="I229">
        <v>748</v>
      </c>
      <c r="J229" t="s">
        <v>26</v>
      </c>
      <c r="K229">
        <v>11</v>
      </c>
      <c r="L229">
        <v>45.3</v>
      </c>
      <c r="M229" t="s">
        <v>55</v>
      </c>
      <c r="N229" s="7">
        <v>44671</v>
      </c>
      <c r="O229" t="str" cm="1">
        <f t="array" ref="O229">_xlfn.IFS(tbl_loans_clean[[#This Row],[Credit_Score]]&lt;650,"580-649",tbl_loans_clean[[#This Row],[Credit_Score]]&lt;700,"650-699",tbl_loans_clean[[#This Row],[Credit_Score]]&lt;750,"700-749",TRUE,"750+")</f>
        <v>700-749</v>
      </c>
    </row>
    <row r="230" spans="1:15" x14ac:dyDescent="0.35">
      <c r="A230" t="s">
        <v>598</v>
      </c>
      <c r="B230" t="s">
        <v>30</v>
      </c>
      <c r="C230" t="s">
        <v>34</v>
      </c>
      <c r="D230" t="s">
        <v>17</v>
      </c>
      <c r="E230">
        <v>128765</v>
      </c>
      <c r="F230">
        <v>6.23</v>
      </c>
      <c r="G230">
        <v>48</v>
      </c>
      <c r="H230">
        <v>28515</v>
      </c>
      <c r="I230">
        <v>749</v>
      </c>
      <c r="J230" t="s">
        <v>26</v>
      </c>
      <c r="K230">
        <v>8.3000000000000007</v>
      </c>
      <c r="L230">
        <v>21.5</v>
      </c>
      <c r="M230" t="s">
        <v>23</v>
      </c>
      <c r="N230" s="7">
        <v>44672</v>
      </c>
      <c r="O230" t="str" cm="1">
        <f t="array" ref="O230">_xlfn.IFS(tbl_loans_clean[[#This Row],[Credit_Score]]&lt;650,"580-649",tbl_loans_clean[[#This Row],[Credit_Score]]&lt;700,"650-699",tbl_loans_clean[[#This Row],[Credit_Score]]&lt;750,"700-749",TRUE,"750+")</f>
        <v>700-749</v>
      </c>
    </row>
    <row r="231" spans="1:15" x14ac:dyDescent="0.35">
      <c r="A231" t="s">
        <v>621</v>
      </c>
      <c r="B231" t="s">
        <v>30</v>
      </c>
      <c r="C231" t="s">
        <v>16</v>
      </c>
      <c r="D231" t="s">
        <v>32</v>
      </c>
      <c r="E231">
        <v>617181</v>
      </c>
      <c r="F231">
        <v>4.95</v>
      </c>
      <c r="G231">
        <v>240</v>
      </c>
      <c r="H231">
        <v>137756</v>
      </c>
      <c r="I231">
        <v>747</v>
      </c>
      <c r="J231" t="s">
        <v>18</v>
      </c>
      <c r="K231">
        <v>2.2000000000000002</v>
      </c>
      <c r="L231">
        <v>32.1</v>
      </c>
      <c r="M231" t="s">
        <v>19</v>
      </c>
      <c r="N231" s="7">
        <v>44672</v>
      </c>
      <c r="O231" t="str" cm="1">
        <f t="array" ref="O231">_xlfn.IFS(tbl_loans_clean[[#This Row],[Credit_Score]]&lt;650,"580-649",tbl_loans_clean[[#This Row],[Credit_Score]]&lt;700,"650-699",tbl_loans_clean[[#This Row],[Credit_Score]]&lt;750,"700-749",TRUE,"750+")</f>
        <v>700-749</v>
      </c>
    </row>
    <row r="232" spans="1:15" x14ac:dyDescent="0.35">
      <c r="A232" t="s">
        <v>319</v>
      </c>
      <c r="B232" t="s">
        <v>28</v>
      </c>
      <c r="C232" t="s">
        <v>16</v>
      </c>
      <c r="D232" t="s">
        <v>32</v>
      </c>
      <c r="E232">
        <v>235604</v>
      </c>
      <c r="F232">
        <v>11.07</v>
      </c>
      <c r="G232">
        <v>240</v>
      </c>
      <c r="H232">
        <v>40720</v>
      </c>
      <c r="I232">
        <v>581</v>
      </c>
      <c r="J232" t="s">
        <v>39</v>
      </c>
      <c r="K232">
        <v>21</v>
      </c>
      <c r="L232">
        <v>30.9</v>
      </c>
      <c r="M232" t="s">
        <v>23</v>
      </c>
      <c r="N232" s="7">
        <v>44674</v>
      </c>
      <c r="O232" t="str" cm="1">
        <f t="array" ref="O232">_xlfn.IFS(tbl_loans_clean[[#This Row],[Credit_Score]]&lt;650,"580-649",tbl_loans_clean[[#This Row],[Credit_Score]]&lt;700,"650-699",tbl_loans_clean[[#This Row],[Credit_Score]]&lt;750,"700-749",TRUE,"750+")</f>
        <v>580-649</v>
      </c>
    </row>
    <row r="233" spans="1:15" x14ac:dyDescent="0.35">
      <c r="A233" t="s">
        <v>707</v>
      </c>
      <c r="B233" t="s">
        <v>30</v>
      </c>
      <c r="C233" t="s">
        <v>22</v>
      </c>
      <c r="D233" t="s">
        <v>45</v>
      </c>
      <c r="E233">
        <v>66844</v>
      </c>
      <c r="F233">
        <v>4.92</v>
      </c>
      <c r="G233">
        <v>300</v>
      </c>
      <c r="H233">
        <v>93431</v>
      </c>
      <c r="I233">
        <v>672</v>
      </c>
      <c r="J233" t="s">
        <v>35</v>
      </c>
      <c r="K233">
        <v>22.8</v>
      </c>
      <c r="L233">
        <v>44.9</v>
      </c>
      <c r="M233" t="s">
        <v>48</v>
      </c>
      <c r="N233" s="7">
        <v>44674</v>
      </c>
      <c r="O233" t="str" cm="1">
        <f t="array" ref="O233">_xlfn.IFS(tbl_loans_clean[[#This Row],[Credit_Score]]&lt;650,"580-649",tbl_loans_clean[[#This Row],[Credit_Score]]&lt;700,"650-699",tbl_loans_clean[[#This Row],[Credit_Score]]&lt;750,"700-749",TRUE,"750+")</f>
        <v>650-699</v>
      </c>
    </row>
    <row r="234" spans="1:15" x14ac:dyDescent="0.35">
      <c r="A234" t="s">
        <v>212</v>
      </c>
      <c r="B234" t="s">
        <v>30</v>
      </c>
      <c r="C234" t="s">
        <v>34</v>
      </c>
      <c r="D234" t="s">
        <v>38</v>
      </c>
      <c r="E234">
        <v>647613</v>
      </c>
      <c r="F234">
        <v>11.54</v>
      </c>
      <c r="G234">
        <v>240</v>
      </c>
      <c r="H234">
        <v>167993</v>
      </c>
      <c r="I234">
        <v>653</v>
      </c>
      <c r="J234" t="s">
        <v>26</v>
      </c>
      <c r="K234">
        <v>6.6</v>
      </c>
      <c r="L234">
        <v>20.100000000000001</v>
      </c>
      <c r="M234" t="s">
        <v>23</v>
      </c>
      <c r="N234" s="7">
        <v>44675</v>
      </c>
      <c r="O234" t="str" cm="1">
        <f t="array" ref="O234">_xlfn.IFS(tbl_loans_clean[[#This Row],[Credit_Score]]&lt;650,"580-649",tbl_loans_clean[[#This Row],[Credit_Score]]&lt;700,"650-699",tbl_loans_clean[[#This Row],[Credit_Score]]&lt;750,"700-749",TRUE,"750+")</f>
        <v>650-699</v>
      </c>
    </row>
    <row r="235" spans="1:15" x14ac:dyDescent="0.35">
      <c r="A235" t="s">
        <v>421</v>
      </c>
      <c r="B235" t="s">
        <v>30</v>
      </c>
      <c r="C235" t="s">
        <v>16</v>
      </c>
      <c r="D235" t="s">
        <v>43</v>
      </c>
      <c r="E235">
        <v>219764</v>
      </c>
      <c r="F235">
        <v>11.3</v>
      </c>
      <c r="G235">
        <v>24</v>
      </c>
      <c r="H235">
        <v>60230</v>
      </c>
      <c r="I235">
        <v>832</v>
      </c>
      <c r="J235" t="s">
        <v>18</v>
      </c>
      <c r="K235">
        <v>3.5</v>
      </c>
      <c r="L235">
        <v>26.4</v>
      </c>
      <c r="M235" t="s">
        <v>23</v>
      </c>
      <c r="N235" s="7">
        <v>44676</v>
      </c>
      <c r="O235" t="str" cm="1">
        <f t="array" ref="O235">_xlfn.IFS(tbl_loans_clean[[#This Row],[Credit_Score]]&lt;650,"580-649",tbl_loans_clean[[#This Row],[Credit_Score]]&lt;700,"650-699",tbl_loans_clean[[#This Row],[Credit_Score]]&lt;750,"700-749",TRUE,"750+")</f>
        <v>750+</v>
      </c>
    </row>
    <row r="236" spans="1:15" x14ac:dyDescent="0.35">
      <c r="A236" t="s">
        <v>112</v>
      </c>
      <c r="B236" t="s">
        <v>30</v>
      </c>
      <c r="C236" t="s">
        <v>22</v>
      </c>
      <c r="D236" t="s">
        <v>43</v>
      </c>
      <c r="E236">
        <v>611590</v>
      </c>
      <c r="F236">
        <v>14.28</v>
      </c>
      <c r="G236">
        <v>60</v>
      </c>
      <c r="H236">
        <v>104441</v>
      </c>
      <c r="I236">
        <v>641</v>
      </c>
      <c r="J236" t="s">
        <v>18</v>
      </c>
      <c r="K236">
        <v>9</v>
      </c>
      <c r="L236">
        <v>43.2</v>
      </c>
      <c r="M236" t="s">
        <v>23</v>
      </c>
      <c r="N236" s="7">
        <v>44677</v>
      </c>
      <c r="O236" t="str" cm="1">
        <f t="array" ref="O236">_xlfn.IFS(tbl_loans_clean[[#This Row],[Credit_Score]]&lt;650,"580-649",tbl_loans_clean[[#This Row],[Credit_Score]]&lt;700,"650-699",tbl_loans_clean[[#This Row],[Credit_Score]]&lt;750,"700-749",TRUE,"750+")</f>
        <v>580-649</v>
      </c>
    </row>
    <row r="237" spans="1:15" x14ac:dyDescent="0.35">
      <c r="A237" t="s">
        <v>455</v>
      </c>
      <c r="B237" t="s">
        <v>15</v>
      </c>
      <c r="C237" t="s">
        <v>16</v>
      </c>
      <c r="D237" t="s">
        <v>17</v>
      </c>
      <c r="E237">
        <v>505098</v>
      </c>
      <c r="F237">
        <v>11.1</v>
      </c>
      <c r="G237">
        <v>36</v>
      </c>
      <c r="H237">
        <v>136369</v>
      </c>
      <c r="I237">
        <v>813</v>
      </c>
      <c r="J237" t="s">
        <v>18</v>
      </c>
      <c r="K237">
        <v>18.899999999999999</v>
      </c>
      <c r="L237">
        <v>23.3</v>
      </c>
      <c r="M237" t="s">
        <v>23</v>
      </c>
      <c r="N237" s="7">
        <v>44679</v>
      </c>
      <c r="O237" t="str" cm="1">
        <f t="array" ref="O237">_xlfn.IFS(tbl_loans_clean[[#This Row],[Credit_Score]]&lt;650,"580-649",tbl_loans_clean[[#This Row],[Credit_Score]]&lt;700,"650-699",tbl_loans_clean[[#This Row],[Credit_Score]]&lt;750,"700-749",TRUE,"750+")</f>
        <v>750+</v>
      </c>
    </row>
    <row r="238" spans="1:15" x14ac:dyDescent="0.35">
      <c r="A238" t="s">
        <v>213</v>
      </c>
      <c r="B238" t="s">
        <v>15</v>
      </c>
      <c r="C238" t="s">
        <v>16</v>
      </c>
      <c r="D238" t="s">
        <v>73</v>
      </c>
      <c r="E238">
        <v>548625</v>
      </c>
      <c r="F238">
        <v>9.09</v>
      </c>
      <c r="G238">
        <v>36</v>
      </c>
      <c r="H238">
        <v>78435</v>
      </c>
      <c r="I238">
        <v>694</v>
      </c>
      <c r="J238" t="s">
        <v>18</v>
      </c>
      <c r="K238">
        <v>10.9</v>
      </c>
      <c r="L238">
        <v>43.8</v>
      </c>
      <c r="M238" t="s">
        <v>23</v>
      </c>
      <c r="N238" s="7">
        <v>44683</v>
      </c>
      <c r="O238" t="str" cm="1">
        <f t="array" ref="O238">_xlfn.IFS(tbl_loans_clean[[#This Row],[Credit_Score]]&lt;650,"580-649",tbl_loans_clean[[#This Row],[Credit_Score]]&lt;700,"650-699",tbl_loans_clean[[#This Row],[Credit_Score]]&lt;750,"700-749",TRUE,"750+")</f>
        <v>650-699</v>
      </c>
    </row>
    <row r="239" spans="1:15" x14ac:dyDescent="0.35">
      <c r="A239" t="s">
        <v>625</v>
      </c>
      <c r="B239" t="s">
        <v>30</v>
      </c>
      <c r="C239" t="s">
        <v>22</v>
      </c>
      <c r="D239" t="s">
        <v>17</v>
      </c>
      <c r="E239">
        <v>27601</v>
      </c>
      <c r="F239">
        <v>9.57</v>
      </c>
      <c r="G239">
        <v>12</v>
      </c>
      <c r="H239">
        <v>35533</v>
      </c>
      <c r="I239">
        <v>795</v>
      </c>
      <c r="J239" t="s">
        <v>18</v>
      </c>
      <c r="K239">
        <v>3.9</v>
      </c>
      <c r="L239">
        <v>9.8000000000000007</v>
      </c>
      <c r="M239" t="s">
        <v>23</v>
      </c>
      <c r="N239" s="7">
        <v>44683</v>
      </c>
      <c r="O239" t="str" cm="1">
        <f t="array" ref="O239">_xlfn.IFS(tbl_loans_clean[[#This Row],[Credit_Score]]&lt;650,"580-649",tbl_loans_clean[[#This Row],[Credit_Score]]&lt;700,"650-699",tbl_loans_clean[[#This Row],[Credit_Score]]&lt;750,"700-749",TRUE,"750+")</f>
        <v>750+</v>
      </c>
    </row>
    <row r="240" spans="1:15" x14ac:dyDescent="0.35">
      <c r="A240" t="s">
        <v>438</v>
      </c>
      <c r="B240" t="s">
        <v>37</v>
      </c>
      <c r="C240" t="s">
        <v>34</v>
      </c>
      <c r="D240" t="s">
        <v>52</v>
      </c>
      <c r="E240">
        <v>478314</v>
      </c>
      <c r="F240">
        <v>11.02</v>
      </c>
      <c r="G240">
        <v>120</v>
      </c>
      <c r="H240">
        <v>49650</v>
      </c>
      <c r="I240">
        <v>630</v>
      </c>
      <c r="J240" t="s">
        <v>18</v>
      </c>
      <c r="K240">
        <v>17.100000000000001</v>
      </c>
      <c r="L240">
        <v>34</v>
      </c>
      <c r="M240" t="s">
        <v>55</v>
      </c>
      <c r="N240" s="7">
        <v>44687</v>
      </c>
      <c r="O240" t="str" cm="1">
        <f t="array" ref="O240">_xlfn.IFS(tbl_loans_clean[[#This Row],[Credit_Score]]&lt;650,"580-649",tbl_loans_clean[[#This Row],[Credit_Score]]&lt;700,"650-699",tbl_loans_clean[[#This Row],[Credit_Score]]&lt;750,"700-749",TRUE,"750+")</f>
        <v>580-649</v>
      </c>
    </row>
    <row r="241" spans="1:15" x14ac:dyDescent="0.35">
      <c r="A241" t="s">
        <v>785</v>
      </c>
      <c r="B241" t="s">
        <v>15</v>
      </c>
      <c r="C241" t="s">
        <v>22</v>
      </c>
      <c r="D241" t="s">
        <v>17</v>
      </c>
      <c r="E241">
        <v>232189</v>
      </c>
      <c r="F241">
        <v>14.09</v>
      </c>
      <c r="G241">
        <v>12</v>
      </c>
      <c r="H241">
        <v>132718</v>
      </c>
      <c r="I241">
        <v>834</v>
      </c>
      <c r="J241" t="s">
        <v>18</v>
      </c>
      <c r="K241">
        <v>14.5</v>
      </c>
      <c r="L241">
        <v>8</v>
      </c>
      <c r="M241" t="s">
        <v>19</v>
      </c>
      <c r="N241" s="7">
        <v>44687</v>
      </c>
      <c r="O241" t="str" cm="1">
        <f t="array" ref="O241">_xlfn.IFS(tbl_loans_clean[[#This Row],[Credit_Score]]&lt;650,"580-649",tbl_loans_clean[[#This Row],[Credit_Score]]&lt;700,"650-699",tbl_loans_clean[[#This Row],[Credit_Score]]&lt;750,"700-749",TRUE,"750+")</f>
        <v>750+</v>
      </c>
    </row>
    <row r="242" spans="1:15" x14ac:dyDescent="0.35">
      <c r="A242" t="s">
        <v>504</v>
      </c>
      <c r="B242" t="s">
        <v>25</v>
      </c>
      <c r="C242" t="s">
        <v>22</v>
      </c>
      <c r="D242" t="s">
        <v>38</v>
      </c>
      <c r="E242">
        <v>278452</v>
      </c>
      <c r="F242">
        <v>12.97</v>
      </c>
      <c r="G242">
        <v>48</v>
      </c>
      <c r="H242">
        <v>165046</v>
      </c>
      <c r="I242">
        <v>834</v>
      </c>
      <c r="J242" t="s">
        <v>18</v>
      </c>
      <c r="K242">
        <v>21.4</v>
      </c>
      <c r="L242">
        <v>32.4</v>
      </c>
      <c r="M242" t="s">
        <v>23</v>
      </c>
      <c r="N242" s="7">
        <v>44688</v>
      </c>
      <c r="O242" t="str" cm="1">
        <f t="array" ref="O242">_xlfn.IFS(tbl_loans_clean[[#This Row],[Credit_Score]]&lt;650,"580-649",tbl_loans_clean[[#This Row],[Credit_Score]]&lt;700,"650-699",tbl_loans_clean[[#This Row],[Credit_Score]]&lt;750,"700-749",TRUE,"750+")</f>
        <v>750+</v>
      </c>
    </row>
    <row r="243" spans="1:15" x14ac:dyDescent="0.35">
      <c r="A243" t="s">
        <v>542</v>
      </c>
      <c r="B243" t="s">
        <v>28</v>
      </c>
      <c r="C243" t="s">
        <v>22</v>
      </c>
      <c r="D243" t="s">
        <v>73</v>
      </c>
      <c r="E243">
        <v>254243</v>
      </c>
      <c r="F243">
        <v>8.34</v>
      </c>
      <c r="G243">
        <v>120</v>
      </c>
      <c r="H243">
        <v>135594</v>
      </c>
      <c r="I243">
        <v>730</v>
      </c>
      <c r="J243" t="s">
        <v>26</v>
      </c>
      <c r="K243">
        <v>7.6</v>
      </c>
      <c r="L243">
        <v>34.5</v>
      </c>
      <c r="M243" t="s">
        <v>55</v>
      </c>
      <c r="N243" s="7">
        <v>44692</v>
      </c>
      <c r="O243" t="str" cm="1">
        <f t="array" ref="O243">_xlfn.IFS(tbl_loans_clean[[#This Row],[Credit_Score]]&lt;650,"580-649",tbl_loans_clean[[#This Row],[Credit_Score]]&lt;700,"650-699",tbl_loans_clean[[#This Row],[Credit_Score]]&lt;750,"700-749",TRUE,"750+")</f>
        <v>700-749</v>
      </c>
    </row>
    <row r="244" spans="1:15" x14ac:dyDescent="0.35">
      <c r="A244" t="s">
        <v>543</v>
      </c>
      <c r="B244" t="s">
        <v>15</v>
      </c>
      <c r="C244" t="s">
        <v>34</v>
      </c>
      <c r="D244" t="s">
        <v>32</v>
      </c>
      <c r="E244">
        <v>603506</v>
      </c>
      <c r="F244">
        <v>10.75</v>
      </c>
      <c r="G244">
        <v>48</v>
      </c>
      <c r="H244">
        <v>30881</v>
      </c>
      <c r="I244">
        <v>702</v>
      </c>
      <c r="J244" t="s">
        <v>18</v>
      </c>
      <c r="K244">
        <v>2.2000000000000002</v>
      </c>
      <c r="L244">
        <v>26.6</v>
      </c>
      <c r="M244" t="s">
        <v>19</v>
      </c>
      <c r="N244" s="7">
        <v>44693</v>
      </c>
      <c r="O244" t="str" cm="1">
        <f t="array" ref="O244">_xlfn.IFS(tbl_loans_clean[[#This Row],[Credit_Score]]&lt;650,"580-649",tbl_loans_clean[[#This Row],[Credit_Score]]&lt;700,"650-699",tbl_loans_clean[[#This Row],[Credit_Score]]&lt;750,"700-749",TRUE,"750+")</f>
        <v>700-749</v>
      </c>
    </row>
    <row r="245" spans="1:15" x14ac:dyDescent="0.35">
      <c r="A245" t="s">
        <v>833</v>
      </c>
      <c r="B245" t="s">
        <v>15</v>
      </c>
      <c r="C245" t="s">
        <v>34</v>
      </c>
      <c r="D245" t="s">
        <v>17</v>
      </c>
      <c r="E245">
        <v>351184</v>
      </c>
      <c r="F245">
        <v>7.07</v>
      </c>
      <c r="G245">
        <v>240</v>
      </c>
      <c r="H245">
        <v>129503</v>
      </c>
      <c r="I245">
        <v>724</v>
      </c>
      <c r="J245" t="s">
        <v>26</v>
      </c>
      <c r="K245">
        <v>3.8</v>
      </c>
      <c r="L245">
        <v>26.6</v>
      </c>
      <c r="M245" t="s">
        <v>23</v>
      </c>
      <c r="N245" s="7">
        <v>44697</v>
      </c>
      <c r="O245" t="str" cm="1">
        <f t="array" ref="O245">_xlfn.IFS(tbl_loans_clean[[#This Row],[Credit_Score]]&lt;650,"580-649",tbl_loans_clean[[#This Row],[Credit_Score]]&lt;700,"650-699",tbl_loans_clean[[#This Row],[Credit_Score]]&lt;750,"700-749",TRUE,"750+")</f>
        <v>700-749</v>
      </c>
    </row>
    <row r="246" spans="1:15" x14ac:dyDescent="0.35">
      <c r="A246" t="s">
        <v>184</v>
      </c>
      <c r="B246" t="s">
        <v>30</v>
      </c>
      <c r="C246" t="s">
        <v>34</v>
      </c>
      <c r="D246" t="s">
        <v>17</v>
      </c>
      <c r="E246">
        <v>535430</v>
      </c>
      <c r="F246">
        <v>10.130000000000001</v>
      </c>
      <c r="G246">
        <v>60</v>
      </c>
      <c r="H246">
        <v>100255</v>
      </c>
      <c r="I246">
        <v>646</v>
      </c>
      <c r="J246" t="s">
        <v>18</v>
      </c>
      <c r="K246">
        <v>6.9</v>
      </c>
      <c r="L246">
        <v>29.7</v>
      </c>
      <c r="M246" t="s">
        <v>23</v>
      </c>
      <c r="N246" s="7">
        <v>44698</v>
      </c>
      <c r="O246" t="str" cm="1">
        <f t="array" ref="O246">_xlfn.IFS(tbl_loans_clean[[#This Row],[Credit_Score]]&lt;650,"580-649",tbl_loans_clean[[#This Row],[Credit_Score]]&lt;700,"650-699",tbl_loans_clean[[#This Row],[Credit_Score]]&lt;750,"700-749",TRUE,"750+")</f>
        <v>580-649</v>
      </c>
    </row>
    <row r="247" spans="1:15" x14ac:dyDescent="0.35">
      <c r="A247" t="s">
        <v>483</v>
      </c>
      <c r="B247" t="s">
        <v>110</v>
      </c>
      <c r="C247" t="s">
        <v>16</v>
      </c>
      <c r="D247" t="s">
        <v>45</v>
      </c>
      <c r="E247">
        <v>416124</v>
      </c>
      <c r="F247">
        <v>14.47</v>
      </c>
      <c r="G247">
        <v>48</v>
      </c>
      <c r="H247">
        <v>161959</v>
      </c>
      <c r="I247">
        <v>740</v>
      </c>
      <c r="J247" t="s">
        <v>18</v>
      </c>
      <c r="K247">
        <v>20.100000000000001</v>
      </c>
      <c r="L247">
        <v>30.8</v>
      </c>
      <c r="M247" t="s">
        <v>23</v>
      </c>
      <c r="N247" s="7">
        <v>44698</v>
      </c>
      <c r="O247" t="str" cm="1">
        <f t="array" ref="O247">_xlfn.IFS(tbl_loans_clean[[#This Row],[Credit_Score]]&lt;650,"580-649",tbl_loans_clean[[#This Row],[Credit_Score]]&lt;700,"650-699",tbl_loans_clean[[#This Row],[Credit_Score]]&lt;750,"700-749",TRUE,"750+")</f>
        <v>700-749</v>
      </c>
    </row>
    <row r="248" spans="1:15" x14ac:dyDescent="0.35">
      <c r="A248" t="s">
        <v>174</v>
      </c>
      <c r="B248" t="s">
        <v>30</v>
      </c>
      <c r="C248" t="s">
        <v>16</v>
      </c>
      <c r="D248" t="s">
        <v>32</v>
      </c>
      <c r="E248">
        <v>565881</v>
      </c>
      <c r="F248">
        <v>8.1</v>
      </c>
      <c r="G248">
        <v>60</v>
      </c>
      <c r="H248">
        <v>180236</v>
      </c>
      <c r="I248">
        <v>648</v>
      </c>
      <c r="J248" t="s">
        <v>18</v>
      </c>
      <c r="K248">
        <v>15.7</v>
      </c>
      <c r="L248">
        <v>44.9</v>
      </c>
      <c r="M248" t="s">
        <v>19</v>
      </c>
      <c r="N248" s="7">
        <v>44701</v>
      </c>
      <c r="O248" t="str" cm="1">
        <f t="array" ref="O248">_xlfn.IFS(tbl_loans_clean[[#This Row],[Credit_Score]]&lt;650,"580-649",tbl_loans_clean[[#This Row],[Credit_Score]]&lt;700,"650-699",tbl_loans_clean[[#This Row],[Credit_Score]]&lt;750,"700-749",TRUE,"750+")</f>
        <v>580-649</v>
      </c>
    </row>
    <row r="249" spans="1:15" x14ac:dyDescent="0.35">
      <c r="A249" t="s">
        <v>544</v>
      </c>
      <c r="B249" t="s">
        <v>30</v>
      </c>
      <c r="C249" t="s">
        <v>22</v>
      </c>
      <c r="D249" t="s">
        <v>17</v>
      </c>
      <c r="E249">
        <v>201416</v>
      </c>
      <c r="F249">
        <v>12.66</v>
      </c>
      <c r="G249">
        <v>48</v>
      </c>
      <c r="H249">
        <v>57863</v>
      </c>
      <c r="I249">
        <v>723</v>
      </c>
      <c r="J249" t="s">
        <v>18</v>
      </c>
      <c r="K249">
        <v>0</v>
      </c>
      <c r="L249">
        <v>33.200000000000003</v>
      </c>
      <c r="M249" t="s">
        <v>23</v>
      </c>
      <c r="N249" s="7">
        <v>44701</v>
      </c>
      <c r="O249" t="str" cm="1">
        <f t="array" ref="O249">_xlfn.IFS(tbl_loans_clean[[#This Row],[Credit_Score]]&lt;650,"580-649",tbl_loans_clean[[#This Row],[Credit_Score]]&lt;700,"650-699",tbl_loans_clean[[#This Row],[Credit_Score]]&lt;750,"700-749",TRUE,"750+")</f>
        <v>700-749</v>
      </c>
    </row>
    <row r="250" spans="1:15" x14ac:dyDescent="0.35">
      <c r="A250" t="s">
        <v>464</v>
      </c>
      <c r="B250" t="s">
        <v>30</v>
      </c>
      <c r="C250" t="s">
        <v>22</v>
      </c>
      <c r="D250" t="s">
        <v>73</v>
      </c>
      <c r="E250">
        <v>228461</v>
      </c>
      <c r="F250">
        <v>3.64</v>
      </c>
      <c r="G250">
        <v>120</v>
      </c>
      <c r="H250">
        <v>153180</v>
      </c>
      <c r="I250">
        <v>837</v>
      </c>
      <c r="J250" t="s">
        <v>18</v>
      </c>
      <c r="K250">
        <v>3.3</v>
      </c>
      <c r="L250">
        <v>23.9</v>
      </c>
      <c r="M250" t="s">
        <v>19</v>
      </c>
      <c r="N250" s="7">
        <v>44702</v>
      </c>
      <c r="O250" t="str" cm="1">
        <f t="array" ref="O250">_xlfn.IFS(tbl_loans_clean[[#This Row],[Credit_Score]]&lt;650,"580-649",tbl_loans_clean[[#This Row],[Credit_Score]]&lt;700,"650-699",tbl_loans_clean[[#This Row],[Credit_Score]]&lt;750,"700-749",TRUE,"750+")</f>
        <v>750+</v>
      </c>
    </row>
    <row r="251" spans="1:15" x14ac:dyDescent="0.35">
      <c r="A251" t="s">
        <v>133</v>
      </c>
      <c r="B251" t="s">
        <v>25</v>
      </c>
      <c r="C251" t="s">
        <v>34</v>
      </c>
      <c r="D251" t="s">
        <v>32</v>
      </c>
      <c r="E251">
        <v>607276</v>
      </c>
      <c r="F251">
        <v>4.05</v>
      </c>
      <c r="G251">
        <v>300</v>
      </c>
      <c r="H251">
        <v>199946</v>
      </c>
      <c r="I251">
        <v>633</v>
      </c>
      <c r="J251" t="s">
        <v>26</v>
      </c>
      <c r="K251">
        <v>10.4</v>
      </c>
      <c r="L251">
        <v>45.3</v>
      </c>
      <c r="M251" t="s">
        <v>23</v>
      </c>
      <c r="N251" s="7">
        <v>44705</v>
      </c>
      <c r="O251" t="str" cm="1">
        <f t="array" ref="O251">_xlfn.IFS(tbl_loans_clean[[#This Row],[Credit_Score]]&lt;650,"580-649",tbl_loans_clean[[#This Row],[Credit_Score]]&lt;700,"650-699",tbl_loans_clean[[#This Row],[Credit_Score]]&lt;750,"700-749",TRUE,"750+")</f>
        <v>580-649</v>
      </c>
    </row>
    <row r="252" spans="1:15" x14ac:dyDescent="0.35">
      <c r="A252" t="s">
        <v>356</v>
      </c>
      <c r="B252" t="s">
        <v>25</v>
      </c>
      <c r="C252" t="s">
        <v>16</v>
      </c>
      <c r="D252" t="s">
        <v>32</v>
      </c>
      <c r="E252">
        <v>489146</v>
      </c>
      <c r="F252">
        <v>8.3000000000000007</v>
      </c>
      <c r="G252">
        <v>36</v>
      </c>
      <c r="H252">
        <v>115939</v>
      </c>
      <c r="I252">
        <v>630</v>
      </c>
      <c r="J252" t="s">
        <v>18</v>
      </c>
      <c r="K252">
        <v>17.399999999999999</v>
      </c>
      <c r="L252">
        <v>27.7</v>
      </c>
      <c r="M252" t="s">
        <v>23</v>
      </c>
      <c r="N252" s="7">
        <v>44707</v>
      </c>
      <c r="O252" t="str" cm="1">
        <f t="array" ref="O252">_xlfn.IFS(tbl_loans_clean[[#This Row],[Credit_Score]]&lt;650,"580-649",tbl_loans_clean[[#This Row],[Credit_Score]]&lt;700,"650-699",tbl_loans_clean[[#This Row],[Credit_Score]]&lt;750,"700-749",TRUE,"750+")</f>
        <v>580-649</v>
      </c>
    </row>
    <row r="253" spans="1:15" x14ac:dyDescent="0.35">
      <c r="A253" t="s">
        <v>811</v>
      </c>
      <c r="B253" t="s">
        <v>25</v>
      </c>
      <c r="C253" t="s">
        <v>22</v>
      </c>
      <c r="D253" t="s">
        <v>38</v>
      </c>
      <c r="E253">
        <v>147180</v>
      </c>
      <c r="F253">
        <v>8.52</v>
      </c>
      <c r="G253">
        <v>36</v>
      </c>
      <c r="H253">
        <v>31775</v>
      </c>
      <c r="I253">
        <v>725</v>
      </c>
      <c r="J253" t="s">
        <v>26</v>
      </c>
      <c r="K253">
        <v>20.399999999999999</v>
      </c>
      <c r="L253">
        <v>23.2</v>
      </c>
      <c r="M253" t="s">
        <v>23</v>
      </c>
      <c r="N253" s="7">
        <v>44708</v>
      </c>
      <c r="O253" t="str" cm="1">
        <f t="array" ref="O253">_xlfn.IFS(tbl_loans_clean[[#This Row],[Credit_Score]]&lt;650,"580-649",tbl_loans_clean[[#This Row],[Credit_Score]]&lt;700,"650-699",tbl_loans_clean[[#This Row],[Credit_Score]]&lt;750,"700-749",TRUE,"750+")</f>
        <v>700-749</v>
      </c>
    </row>
    <row r="254" spans="1:15" x14ac:dyDescent="0.35">
      <c r="A254" t="s">
        <v>683</v>
      </c>
      <c r="B254" t="s">
        <v>30</v>
      </c>
      <c r="C254" t="s">
        <v>22</v>
      </c>
      <c r="D254" t="s">
        <v>17</v>
      </c>
      <c r="E254">
        <v>96328</v>
      </c>
      <c r="F254">
        <v>6.43</v>
      </c>
      <c r="G254">
        <v>60</v>
      </c>
      <c r="H254">
        <v>88430</v>
      </c>
      <c r="I254">
        <v>740</v>
      </c>
      <c r="J254" t="s">
        <v>18</v>
      </c>
      <c r="K254">
        <v>9.6</v>
      </c>
      <c r="L254">
        <v>31.7</v>
      </c>
      <c r="M254" t="s">
        <v>48</v>
      </c>
      <c r="N254" s="7">
        <v>44710</v>
      </c>
      <c r="O254" t="str" cm="1">
        <f t="array" ref="O254">_xlfn.IFS(tbl_loans_clean[[#This Row],[Credit_Score]]&lt;650,"580-649",tbl_loans_clean[[#This Row],[Credit_Score]]&lt;700,"650-699",tbl_loans_clean[[#This Row],[Credit_Score]]&lt;750,"700-749",TRUE,"750+")</f>
        <v>700-749</v>
      </c>
    </row>
    <row r="255" spans="1:15" x14ac:dyDescent="0.35">
      <c r="A255" t="s">
        <v>795</v>
      </c>
      <c r="B255" t="s">
        <v>30</v>
      </c>
      <c r="C255" t="s">
        <v>34</v>
      </c>
      <c r="D255" t="s">
        <v>43</v>
      </c>
      <c r="E255">
        <v>277158</v>
      </c>
      <c r="F255">
        <v>6.15</v>
      </c>
      <c r="G255">
        <v>12</v>
      </c>
      <c r="H255">
        <v>95443</v>
      </c>
      <c r="I255">
        <v>814</v>
      </c>
      <c r="J255" t="s">
        <v>39</v>
      </c>
      <c r="K255">
        <v>9.4</v>
      </c>
      <c r="L255">
        <v>12.3</v>
      </c>
      <c r="M255" t="s">
        <v>23</v>
      </c>
      <c r="N255" s="7">
        <v>44711</v>
      </c>
      <c r="O255" t="str" cm="1">
        <f t="array" ref="O255">_xlfn.IFS(tbl_loans_clean[[#This Row],[Credit_Score]]&lt;650,"580-649",tbl_loans_clean[[#This Row],[Credit_Score]]&lt;700,"650-699",tbl_loans_clean[[#This Row],[Credit_Score]]&lt;750,"700-749",TRUE,"750+")</f>
        <v>750+</v>
      </c>
    </row>
    <row r="256" spans="1:15" x14ac:dyDescent="0.35">
      <c r="A256" t="s">
        <v>162</v>
      </c>
      <c r="B256" t="s">
        <v>83</v>
      </c>
      <c r="C256" t="s">
        <v>22</v>
      </c>
      <c r="D256" t="s">
        <v>17</v>
      </c>
      <c r="E256">
        <v>100071</v>
      </c>
      <c r="F256">
        <v>3.37</v>
      </c>
      <c r="G256">
        <v>300</v>
      </c>
      <c r="H256">
        <v>35008</v>
      </c>
      <c r="I256">
        <v>624</v>
      </c>
      <c r="J256" t="s">
        <v>26</v>
      </c>
      <c r="K256">
        <v>22.8</v>
      </c>
      <c r="L256">
        <v>38</v>
      </c>
      <c r="M256" t="s">
        <v>55</v>
      </c>
      <c r="N256" s="7">
        <v>44716</v>
      </c>
      <c r="O256" t="str" cm="1">
        <f t="array" ref="O256">_xlfn.IFS(tbl_loans_clean[[#This Row],[Credit_Score]]&lt;650,"580-649",tbl_loans_clean[[#This Row],[Credit_Score]]&lt;700,"650-699",tbl_loans_clean[[#This Row],[Credit_Score]]&lt;750,"700-749",TRUE,"750+")</f>
        <v>580-649</v>
      </c>
    </row>
    <row r="257" spans="1:15" x14ac:dyDescent="0.35">
      <c r="A257" t="s">
        <v>450</v>
      </c>
      <c r="B257" t="s">
        <v>83</v>
      </c>
      <c r="C257" t="s">
        <v>22</v>
      </c>
      <c r="D257" t="s">
        <v>17</v>
      </c>
      <c r="E257">
        <v>668376</v>
      </c>
      <c r="F257">
        <v>12.41</v>
      </c>
      <c r="G257">
        <v>240</v>
      </c>
      <c r="H257">
        <v>71894</v>
      </c>
      <c r="I257">
        <v>823</v>
      </c>
      <c r="J257" t="s">
        <v>18</v>
      </c>
      <c r="K257">
        <v>14.3</v>
      </c>
      <c r="L257">
        <v>27.2</v>
      </c>
      <c r="M257" t="s">
        <v>23</v>
      </c>
      <c r="N257" s="7">
        <v>44716</v>
      </c>
      <c r="O257" t="str" cm="1">
        <f t="array" ref="O257">_xlfn.IFS(tbl_loans_clean[[#This Row],[Credit_Score]]&lt;650,"580-649",tbl_loans_clean[[#This Row],[Credit_Score]]&lt;700,"650-699",tbl_loans_clean[[#This Row],[Credit_Score]]&lt;750,"700-749",TRUE,"750+")</f>
        <v>750+</v>
      </c>
    </row>
    <row r="258" spans="1:15" x14ac:dyDescent="0.35">
      <c r="A258" t="s">
        <v>393</v>
      </c>
      <c r="B258" t="s">
        <v>37</v>
      </c>
      <c r="C258" t="s">
        <v>34</v>
      </c>
      <c r="D258" t="s">
        <v>17</v>
      </c>
      <c r="E258">
        <v>485808</v>
      </c>
      <c r="F258">
        <v>3.26</v>
      </c>
      <c r="G258">
        <v>24</v>
      </c>
      <c r="H258">
        <v>197489</v>
      </c>
      <c r="I258">
        <v>802</v>
      </c>
      <c r="J258" t="s">
        <v>26</v>
      </c>
      <c r="K258">
        <v>20.2</v>
      </c>
      <c r="L258">
        <v>24.2</v>
      </c>
      <c r="M258" t="s">
        <v>23</v>
      </c>
      <c r="N258" s="7">
        <v>44717</v>
      </c>
      <c r="O258" t="str" cm="1">
        <f t="array" ref="O258">_xlfn.IFS(tbl_loans_clean[[#This Row],[Credit_Score]]&lt;650,"580-649",tbl_loans_clean[[#This Row],[Credit_Score]]&lt;700,"650-699",tbl_loans_clean[[#This Row],[Credit_Score]]&lt;750,"700-749",TRUE,"750+")</f>
        <v>750+</v>
      </c>
    </row>
    <row r="259" spans="1:15" x14ac:dyDescent="0.35">
      <c r="A259" t="s">
        <v>50</v>
      </c>
      <c r="B259" t="s">
        <v>30</v>
      </c>
      <c r="C259" t="s">
        <v>16</v>
      </c>
      <c r="D259" t="s">
        <v>45</v>
      </c>
      <c r="E259">
        <v>744180</v>
      </c>
      <c r="F259">
        <v>5.86</v>
      </c>
      <c r="G259">
        <v>240</v>
      </c>
      <c r="H259">
        <v>133058</v>
      </c>
      <c r="I259">
        <v>676</v>
      </c>
      <c r="J259" t="s">
        <v>39</v>
      </c>
      <c r="K259">
        <v>2.4</v>
      </c>
      <c r="L259">
        <v>27.9</v>
      </c>
      <c r="M259" t="s">
        <v>23</v>
      </c>
      <c r="N259" s="7">
        <v>44718</v>
      </c>
      <c r="O259" t="str" cm="1">
        <f t="array" ref="O259">_xlfn.IFS(tbl_loans_clean[[#This Row],[Credit_Score]]&lt;650,"580-649",tbl_loans_clean[[#This Row],[Credit_Score]]&lt;700,"650-699",tbl_loans_clean[[#This Row],[Credit_Score]]&lt;750,"700-749",TRUE,"750+")</f>
        <v>650-699</v>
      </c>
    </row>
    <row r="260" spans="1:15" x14ac:dyDescent="0.35">
      <c r="A260" t="s">
        <v>590</v>
      </c>
      <c r="B260" t="s">
        <v>15</v>
      </c>
      <c r="C260" t="s">
        <v>34</v>
      </c>
      <c r="D260" t="s">
        <v>32</v>
      </c>
      <c r="E260">
        <v>602690</v>
      </c>
      <c r="F260">
        <v>12.83</v>
      </c>
      <c r="G260">
        <v>60</v>
      </c>
      <c r="H260">
        <v>51283</v>
      </c>
      <c r="I260">
        <v>642</v>
      </c>
      <c r="J260" t="s">
        <v>26</v>
      </c>
      <c r="K260">
        <v>1.4</v>
      </c>
      <c r="L260">
        <v>34.700000000000003</v>
      </c>
      <c r="M260" t="s">
        <v>23</v>
      </c>
      <c r="N260" s="7">
        <v>44718</v>
      </c>
      <c r="O260" t="str" cm="1">
        <f t="array" ref="O260">_xlfn.IFS(tbl_loans_clean[[#This Row],[Credit_Score]]&lt;650,"580-649",tbl_loans_clean[[#This Row],[Credit_Score]]&lt;700,"650-699",tbl_loans_clean[[#This Row],[Credit_Score]]&lt;750,"700-749",TRUE,"750+")</f>
        <v>580-649</v>
      </c>
    </row>
    <row r="261" spans="1:15" x14ac:dyDescent="0.35">
      <c r="A261" t="s">
        <v>815</v>
      </c>
      <c r="B261" t="s">
        <v>15</v>
      </c>
      <c r="C261" t="s">
        <v>34</v>
      </c>
      <c r="D261" t="s">
        <v>32</v>
      </c>
      <c r="E261">
        <v>277872</v>
      </c>
      <c r="F261">
        <v>9.73</v>
      </c>
      <c r="G261">
        <v>36</v>
      </c>
      <c r="H261">
        <v>111981</v>
      </c>
      <c r="I261">
        <v>596</v>
      </c>
      <c r="J261" t="s">
        <v>26</v>
      </c>
      <c r="K261">
        <v>12.3</v>
      </c>
      <c r="L261">
        <v>42.3</v>
      </c>
      <c r="M261" t="s">
        <v>19</v>
      </c>
      <c r="N261" s="7">
        <v>44718</v>
      </c>
      <c r="O261" t="str" cm="1">
        <f t="array" ref="O261">_xlfn.IFS(tbl_loans_clean[[#This Row],[Credit_Score]]&lt;650,"580-649",tbl_loans_clean[[#This Row],[Credit_Score]]&lt;700,"650-699",tbl_loans_clean[[#This Row],[Credit_Score]]&lt;750,"700-749",TRUE,"750+")</f>
        <v>580-649</v>
      </c>
    </row>
    <row r="262" spans="1:15" x14ac:dyDescent="0.35">
      <c r="A262" t="s">
        <v>841</v>
      </c>
      <c r="B262" t="s">
        <v>71</v>
      </c>
      <c r="C262" t="s">
        <v>34</v>
      </c>
      <c r="D262" t="s">
        <v>45</v>
      </c>
      <c r="E262">
        <v>308664</v>
      </c>
      <c r="F262">
        <v>6.59</v>
      </c>
      <c r="G262">
        <v>36</v>
      </c>
      <c r="H262">
        <v>165126</v>
      </c>
      <c r="I262">
        <v>631</v>
      </c>
      <c r="J262" t="s">
        <v>18</v>
      </c>
      <c r="K262">
        <v>13.2</v>
      </c>
      <c r="L262">
        <v>35.9</v>
      </c>
      <c r="M262" t="s">
        <v>23</v>
      </c>
      <c r="N262" s="7">
        <v>44718</v>
      </c>
      <c r="O262" t="str" cm="1">
        <f t="array" ref="O262">_xlfn.IFS(tbl_loans_clean[[#This Row],[Credit_Score]]&lt;650,"580-649",tbl_loans_clean[[#This Row],[Credit_Score]]&lt;700,"650-699",tbl_loans_clean[[#This Row],[Credit_Score]]&lt;750,"700-749",TRUE,"750+")</f>
        <v>580-649</v>
      </c>
    </row>
    <row r="263" spans="1:15" x14ac:dyDescent="0.35">
      <c r="A263" t="s">
        <v>216</v>
      </c>
      <c r="B263" t="s">
        <v>30</v>
      </c>
      <c r="C263" t="s">
        <v>22</v>
      </c>
      <c r="D263" t="s">
        <v>17</v>
      </c>
      <c r="E263">
        <v>318295</v>
      </c>
      <c r="F263">
        <v>13.6</v>
      </c>
      <c r="G263">
        <v>240</v>
      </c>
      <c r="H263">
        <v>139048</v>
      </c>
      <c r="I263">
        <v>783</v>
      </c>
      <c r="J263" t="s">
        <v>18</v>
      </c>
      <c r="K263">
        <v>19.2</v>
      </c>
      <c r="L263">
        <v>12.4</v>
      </c>
      <c r="M263" t="s">
        <v>23</v>
      </c>
      <c r="N263" s="7">
        <v>44720</v>
      </c>
      <c r="O263" t="str" cm="1">
        <f t="array" ref="O263">_xlfn.IFS(tbl_loans_clean[[#This Row],[Credit_Score]]&lt;650,"580-649",tbl_loans_clean[[#This Row],[Credit_Score]]&lt;700,"650-699",tbl_loans_clean[[#This Row],[Credit_Score]]&lt;750,"700-749",TRUE,"750+")</f>
        <v>750+</v>
      </c>
    </row>
    <row r="264" spans="1:15" x14ac:dyDescent="0.35">
      <c r="A264" t="s">
        <v>808</v>
      </c>
      <c r="B264" t="s">
        <v>25</v>
      </c>
      <c r="C264" t="s">
        <v>16</v>
      </c>
      <c r="D264" t="s">
        <v>17</v>
      </c>
      <c r="E264">
        <v>346102</v>
      </c>
      <c r="F264">
        <v>8.25</v>
      </c>
      <c r="G264">
        <v>36</v>
      </c>
      <c r="H264">
        <v>164668</v>
      </c>
      <c r="I264">
        <v>712</v>
      </c>
      <c r="J264" t="s">
        <v>18</v>
      </c>
      <c r="K264">
        <v>8.9</v>
      </c>
      <c r="L264">
        <v>44.2</v>
      </c>
      <c r="M264" t="s">
        <v>23</v>
      </c>
      <c r="N264" s="7">
        <v>44721</v>
      </c>
      <c r="O264" t="str" cm="1">
        <f t="array" ref="O264">_xlfn.IFS(tbl_loans_clean[[#This Row],[Credit_Score]]&lt;650,"580-649",tbl_loans_clean[[#This Row],[Credit_Score]]&lt;700,"650-699",tbl_loans_clean[[#This Row],[Credit_Score]]&lt;750,"700-749",TRUE,"750+")</f>
        <v>700-749</v>
      </c>
    </row>
    <row r="265" spans="1:15" x14ac:dyDescent="0.35">
      <c r="A265" t="s">
        <v>348</v>
      </c>
      <c r="B265" t="s">
        <v>15</v>
      </c>
      <c r="C265" t="s">
        <v>22</v>
      </c>
      <c r="D265" t="s">
        <v>52</v>
      </c>
      <c r="E265">
        <v>207346</v>
      </c>
      <c r="F265">
        <v>11.37</v>
      </c>
      <c r="G265">
        <v>120</v>
      </c>
      <c r="H265">
        <v>125628</v>
      </c>
      <c r="I265">
        <v>713</v>
      </c>
      <c r="J265" t="s">
        <v>18</v>
      </c>
      <c r="K265">
        <v>18.899999999999999</v>
      </c>
      <c r="L265">
        <v>15.9</v>
      </c>
      <c r="M265" t="s">
        <v>23</v>
      </c>
      <c r="N265" s="7">
        <v>44722</v>
      </c>
      <c r="O265" t="str" cm="1">
        <f t="array" ref="O265">_xlfn.IFS(tbl_loans_clean[[#This Row],[Credit_Score]]&lt;650,"580-649",tbl_loans_clean[[#This Row],[Credit_Score]]&lt;700,"650-699",tbl_loans_clean[[#This Row],[Credit_Score]]&lt;750,"700-749",TRUE,"750+")</f>
        <v>700-749</v>
      </c>
    </row>
    <row r="266" spans="1:15" x14ac:dyDescent="0.35">
      <c r="A266" t="s">
        <v>170</v>
      </c>
      <c r="B266" t="s">
        <v>15</v>
      </c>
      <c r="C266" t="s">
        <v>22</v>
      </c>
      <c r="D266" t="s">
        <v>45</v>
      </c>
      <c r="E266">
        <v>187170</v>
      </c>
      <c r="F266">
        <v>10.8</v>
      </c>
      <c r="G266">
        <v>300</v>
      </c>
      <c r="H266">
        <v>106543</v>
      </c>
      <c r="I266">
        <v>634</v>
      </c>
      <c r="J266" t="s">
        <v>18</v>
      </c>
      <c r="K266">
        <v>13.3</v>
      </c>
      <c r="L266">
        <v>24.4</v>
      </c>
      <c r="M266" t="s">
        <v>23</v>
      </c>
      <c r="N266" s="7">
        <v>44723</v>
      </c>
      <c r="O266" t="str" cm="1">
        <f t="array" ref="O266">_xlfn.IFS(tbl_loans_clean[[#This Row],[Credit_Score]]&lt;650,"580-649",tbl_loans_clean[[#This Row],[Credit_Score]]&lt;700,"650-699",tbl_loans_clean[[#This Row],[Credit_Score]]&lt;750,"700-749",TRUE,"750+")</f>
        <v>580-649</v>
      </c>
    </row>
    <row r="267" spans="1:15" x14ac:dyDescent="0.35">
      <c r="A267" t="s">
        <v>324</v>
      </c>
      <c r="B267" t="s">
        <v>15</v>
      </c>
      <c r="C267" t="s">
        <v>22</v>
      </c>
      <c r="D267" t="s">
        <v>45</v>
      </c>
      <c r="E267">
        <v>410453</v>
      </c>
      <c r="F267">
        <v>13.04</v>
      </c>
      <c r="G267">
        <v>60</v>
      </c>
      <c r="H267">
        <v>100095</v>
      </c>
      <c r="I267">
        <v>623</v>
      </c>
      <c r="J267" t="s">
        <v>26</v>
      </c>
      <c r="K267">
        <v>1.9</v>
      </c>
      <c r="L267">
        <v>22.1</v>
      </c>
      <c r="M267" t="s">
        <v>19</v>
      </c>
      <c r="N267" s="7">
        <v>44727</v>
      </c>
      <c r="O267" t="str" cm="1">
        <f t="array" ref="O267">_xlfn.IFS(tbl_loans_clean[[#This Row],[Credit_Score]]&lt;650,"580-649",tbl_loans_clean[[#This Row],[Credit_Score]]&lt;700,"650-699",tbl_loans_clean[[#This Row],[Credit_Score]]&lt;750,"700-749",TRUE,"750+")</f>
        <v>580-649</v>
      </c>
    </row>
    <row r="268" spans="1:15" x14ac:dyDescent="0.35">
      <c r="A268" t="s">
        <v>581</v>
      </c>
      <c r="B268" t="s">
        <v>30</v>
      </c>
      <c r="C268" t="s">
        <v>22</v>
      </c>
      <c r="D268" t="s">
        <v>43</v>
      </c>
      <c r="E268">
        <v>576441</v>
      </c>
      <c r="F268">
        <v>10.24</v>
      </c>
      <c r="G268">
        <v>48</v>
      </c>
      <c r="H268">
        <v>109788</v>
      </c>
      <c r="I268">
        <v>761</v>
      </c>
      <c r="J268" t="s">
        <v>18</v>
      </c>
      <c r="K268">
        <v>7.6</v>
      </c>
      <c r="L268">
        <v>41.6</v>
      </c>
      <c r="M268" t="s">
        <v>23</v>
      </c>
      <c r="N268" s="7">
        <v>44727</v>
      </c>
      <c r="O268" t="str" cm="1">
        <f t="array" ref="O268">_xlfn.IFS(tbl_loans_clean[[#This Row],[Credit_Score]]&lt;650,"580-649",tbl_loans_clean[[#This Row],[Credit_Score]]&lt;700,"650-699",tbl_loans_clean[[#This Row],[Credit_Score]]&lt;750,"700-749",TRUE,"750+")</f>
        <v>750+</v>
      </c>
    </row>
    <row r="269" spans="1:15" x14ac:dyDescent="0.35">
      <c r="A269" t="s">
        <v>502</v>
      </c>
      <c r="B269" t="s">
        <v>30</v>
      </c>
      <c r="C269" t="s">
        <v>22</v>
      </c>
      <c r="D269" t="s">
        <v>17</v>
      </c>
      <c r="E269">
        <v>446048</v>
      </c>
      <c r="F269">
        <v>9.57</v>
      </c>
      <c r="G269">
        <v>36</v>
      </c>
      <c r="H269">
        <v>159562</v>
      </c>
      <c r="I269">
        <v>765</v>
      </c>
      <c r="J269" t="s">
        <v>26</v>
      </c>
      <c r="K269">
        <v>17.7</v>
      </c>
      <c r="L269">
        <v>8.9</v>
      </c>
      <c r="M269" t="s">
        <v>23</v>
      </c>
      <c r="N269" s="7">
        <v>44728</v>
      </c>
      <c r="O269" t="str" cm="1">
        <f t="array" ref="O269">_xlfn.IFS(tbl_loans_clean[[#This Row],[Credit_Score]]&lt;650,"580-649",tbl_loans_clean[[#This Row],[Credit_Score]]&lt;700,"650-699",tbl_loans_clean[[#This Row],[Credit_Score]]&lt;750,"700-749",TRUE,"750+")</f>
        <v>750+</v>
      </c>
    </row>
    <row r="270" spans="1:15" x14ac:dyDescent="0.35">
      <c r="A270" t="s">
        <v>742</v>
      </c>
      <c r="B270" t="s">
        <v>15</v>
      </c>
      <c r="C270" t="s">
        <v>16</v>
      </c>
      <c r="D270" t="s">
        <v>38</v>
      </c>
      <c r="E270">
        <v>352139</v>
      </c>
      <c r="F270">
        <v>12.68</v>
      </c>
      <c r="G270">
        <v>300</v>
      </c>
      <c r="H270">
        <v>203138</v>
      </c>
      <c r="I270">
        <v>737</v>
      </c>
      <c r="J270" t="s">
        <v>18</v>
      </c>
      <c r="K270">
        <v>11.2</v>
      </c>
      <c r="L270">
        <v>13.1</v>
      </c>
      <c r="M270" t="s">
        <v>19</v>
      </c>
      <c r="N270" s="7">
        <v>44729</v>
      </c>
      <c r="O270" t="str" cm="1">
        <f t="array" ref="O270">_xlfn.IFS(tbl_loans_clean[[#This Row],[Credit_Score]]&lt;650,"580-649",tbl_loans_clean[[#This Row],[Credit_Score]]&lt;700,"650-699",tbl_loans_clean[[#This Row],[Credit_Score]]&lt;750,"700-749",TRUE,"750+")</f>
        <v>700-749</v>
      </c>
    </row>
    <row r="271" spans="1:15" x14ac:dyDescent="0.35">
      <c r="A271" t="s">
        <v>56</v>
      </c>
      <c r="B271" t="s">
        <v>30</v>
      </c>
      <c r="C271" t="s">
        <v>22</v>
      </c>
      <c r="D271" t="s">
        <v>38</v>
      </c>
      <c r="E271">
        <v>650194</v>
      </c>
      <c r="F271">
        <v>14.13</v>
      </c>
      <c r="G271">
        <v>60</v>
      </c>
      <c r="H271">
        <v>177696</v>
      </c>
      <c r="I271">
        <v>795</v>
      </c>
      <c r="J271" t="s">
        <v>18</v>
      </c>
      <c r="K271">
        <v>23.2</v>
      </c>
      <c r="L271">
        <v>25.3</v>
      </c>
      <c r="M271" t="s">
        <v>23</v>
      </c>
      <c r="N271" s="7">
        <v>44731</v>
      </c>
      <c r="O271" t="str" cm="1">
        <f t="array" ref="O271">_xlfn.IFS(tbl_loans_clean[[#This Row],[Credit_Score]]&lt;650,"580-649",tbl_loans_clean[[#This Row],[Credit_Score]]&lt;700,"650-699",tbl_loans_clean[[#This Row],[Credit_Score]]&lt;750,"700-749",TRUE,"750+")</f>
        <v>750+</v>
      </c>
    </row>
    <row r="272" spans="1:15" x14ac:dyDescent="0.35">
      <c r="A272" t="s">
        <v>168</v>
      </c>
      <c r="B272" t="s">
        <v>37</v>
      </c>
      <c r="C272" t="s">
        <v>16</v>
      </c>
      <c r="D272" t="s">
        <v>52</v>
      </c>
      <c r="E272">
        <v>269598</v>
      </c>
      <c r="F272">
        <v>12.69</v>
      </c>
      <c r="G272">
        <v>120</v>
      </c>
      <c r="H272">
        <v>61040</v>
      </c>
      <c r="I272">
        <v>615</v>
      </c>
      <c r="J272" t="s">
        <v>18</v>
      </c>
      <c r="K272">
        <v>22.2</v>
      </c>
      <c r="L272">
        <v>28.1</v>
      </c>
      <c r="M272" t="s">
        <v>19</v>
      </c>
      <c r="N272" s="7">
        <v>44731</v>
      </c>
      <c r="O272" t="str" cm="1">
        <f t="array" ref="O272">_xlfn.IFS(tbl_loans_clean[[#This Row],[Credit_Score]]&lt;650,"580-649",tbl_loans_clean[[#This Row],[Credit_Score]]&lt;700,"650-699",tbl_loans_clean[[#This Row],[Credit_Score]]&lt;750,"700-749",TRUE,"750+")</f>
        <v>580-649</v>
      </c>
    </row>
    <row r="273" spans="1:15" x14ac:dyDescent="0.35">
      <c r="A273" t="s">
        <v>286</v>
      </c>
      <c r="B273" t="s">
        <v>71</v>
      </c>
      <c r="C273" t="s">
        <v>16</v>
      </c>
      <c r="D273" t="s">
        <v>17</v>
      </c>
      <c r="E273">
        <v>238077</v>
      </c>
      <c r="F273">
        <v>10.81</v>
      </c>
      <c r="G273">
        <v>300</v>
      </c>
      <c r="H273">
        <v>181267</v>
      </c>
      <c r="I273">
        <v>763</v>
      </c>
      <c r="J273" t="s">
        <v>18</v>
      </c>
      <c r="K273">
        <v>0.6</v>
      </c>
      <c r="L273">
        <v>27.5</v>
      </c>
      <c r="M273" t="s">
        <v>23</v>
      </c>
      <c r="N273" s="7">
        <v>44732</v>
      </c>
      <c r="O273" t="str" cm="1">
        <f t="array" ref="O273">_xlfn.IFS(tbl_loans_clean[[#This Row],[Credit_Score]]&lt;650,"580-649",tbl_loans_clean[[#This Row],[Credit_Score]]&lt;700,"650-699",tbl_loans_clean[[#This Row],[Credit_Score]]&lt;750,"700-749",TRUE,"750+")</f>
        <v>750+</v>
      </c>
    </row>
    <row r="274" spans="1:15" x14ac:dyDescent="0.35">
      <c r="A274" t="s">
        <v>321</v>
      </c>
      <c r="B274" t="s">
        <v>25</v>
      </c>
      <c r="C274" t="s">
        <v>34</v>
      </c>
      <c r="D274" t="s">
        <v>45</v>
      </c>
      <c r="E274">
        <v>731481</v>
      </c>
      <c r="F274">
        <v>5.14</v>
      </c>
      <c r="G274">
        <v>24</v>
      </c>
      <c r="H274">
        <v>135449</v>
      </c>
      <c r="I274">
        <v>628</v>
      </c>
      <c r="J274" t="s">
        <v>18</v>
      </c>
      <c r="K274">
        <v>22.5</v>
      </c>
      <c r="L274">
        <v>42.5</v>
      </c>
      <c r="M274" t="s">
        <v>19</v>
      </c>
      <c r="N274" s="7">
        <v>44733</v>
      </c>
      <c r="O274" t="str" cm="1">
        <f t="array" ref="O274">_xlfn.IFS(tbl_loans_clean[[#This Row],[Credit_Score]]&lt;650,"580-649",tbl_loans_clean[[#This Row],[Credit_Score]]&lt;700,"650-699",tbl_loans_clean[[#This Row],[Credit_Score]]&lt;750,"700-749",TRUE,"750+")</f>
        <v>580-649</v>
      </c>
    </row>
    <row r="275" spans="1:15" x14ac:dyDescent="0.35">
      <c r="A275" t="s">
        <v>232</v>
      </c>
      <c r="B275" t="s">
        <v>83</v>
      </c>
      <c r="C275" t="s">
        <v>16</v>
      </c>
      <c r="D275" t="s">
        <v>38</v>
      </c>
      <c r="E275">
        <v>407980</v>
      </c>
      <c r="F275">
        <v>3.92</v>
      </c>
      <c r="G275">
        <v>60</v>
      </c>
      <c r="H275">
        <v>190051</v>
      </c>
      <c r="I275">
        <v>794</v>
      </c>
      <c r="J275" t="s">
        <v>18</v>
      </c>
      <c r="K275">
        <v>0.8</v>
      </c>
      <c r="L275">
        <v>29.3</v>
      </c>
      <c r="M275" t="s">
        <v>19</v>
      </c>
      <c r="N275" s="7">
        <v>44734</v>
      </c>
      <c r="O275" t="str" cm="1">
        <f t="array" ref="O275">_xlfn.IFS(tbl_loans_clean[[#This Row],[Credit_Score]]&lt;650,"580-649",tbl_loans_clean[[#This Row],[Credit_Score]]&lt;700,"650-699",tbl_loans_clean[[#This Row],[Credit_Score]]&lt;750,"700-749",TRUE,"750+")</f>
        <v>750+</v>
      </c>
    </row>
    <row r="276" spans="1:15" x14ac:dyDescent="0.35">
      <c r="A276" t="s">
        <v>783</v>
      </c>
      <c r="B276" t="s">
        <v>30</v>
      </c>
      <c r="C276" t="s">
        <v>22</v>
      </c>
      <c r="D276" t="s">
        <v>17</v>
      </c>
      <c r="E276">
        <v>368898</v>
      </c>
      <c r="F276">
        <v>6.34</v>
      </c>
      <c r="G276">
        <v>48</v>
      </c>
      <c r="H276">
        <v>98990</v>
      </c>
      <c r="I276">
        <v>780</v>
      </c>
      <c r="J276" t="s">
        <v>39</v>
      </c>
      <c r="K276">
        <v>2.1</v>
      </c>
      <c r="L276">
        <v>34.1</v>
      </c>
      <c r="M276" t="s">
        <v>55</v>
      </c>
      <c r="N276" s="7">
        <v>44736</v>
      </c>
      <c r="O276" t="str" cm="1">
        <f t="array" ref="O276">_xlfn.IFS(tbl_loans_clean[[#This Row],[Credit_Score]]&lt;650,"580-649",tbl_loans_clean[[#This Row],[Credit_Score]]&lt;700,"650-699",tbl_loans_clean[[#This Row],[Credit_Score]]&lt;750,"700-749",TRUE,"750+")</f>
        <v>750+</v>
      </c>
    </row>
    <row r="277" spans="1:15" x14ac:dyDescent="0.35">
      <c r="A277" t="s">
        <v>233</v>
      </c>
      <c r="B277" t="s">
        <v>83</v>
      </c>
      <c r="C277" t="s">
        <v>22</v>
      </c>
      <c r="D277" t="s">
        <v>32</v>
      </c>
      <c r="E277">
        <v>125356</v>
      </c>
      <c r="F277">
        <v>12.52</v>
      </c>
      <c r="G277">
        <v>12</v>
      </c>
      <c r="H277">
        <v>114436</v>
      </c>
      <c r="I277">
        <v>782</v>
      </c>
      <c r="J277" t="s">
        <v>18</v>
      </c>
      <c r="K277">
        <v>14.9</v>
      </c>
      <c r="L277">
        <v>19.399999999999999</v>
      </c>
      <c r="M277" t="s">
        <v>23</v>
      </c>
      <c r="N277" s="7">
        <v>44737</v>
      </c>
      <c r="O277" t="str" cm="1">
        <f t="array" ref="O277">_xlfn.IFS(tbl_loans_clean[[#This Row],[Credit_Score]]&lt;650,"580-649",tbl_loans_clean[[#This Row],[Credit_Score]]&lt;700,"650-699",tbl_loans_clean[[#This Row],[Credit_Score]]&lt;750,"700-749",TRUE,"750+")</f>
        <v>750+</v>
      </c>
    </row>
    <row r="278" spans="1:15" x14ac:dyDescent="0.35">
      <c r="A278" t="s">
        <v>390</v>
      </c>
      <c r="B278" t="s">
        <v>15</v>
      </c>
      <c r="C278" t="s">
        <v>34</v>
      </c>
      <c r="D278" t="s">
        <v>17</v>
      </c>
      <c r="E278">
        <v>478958</v>
      </c>
      <c r="F278">
        <v>5.66</v>
      </c>
      <c r="G278">
        <v>12</v>
      </c>
      <c r="H278">
        <v>141604</v>
      </c>
      <c r="I278">
        <v>589</v>
      </c>
      <c r="J278" t="s">
        <v>18</v>
      </c>
      <c r="K278">
        <v>13.3</v>
      </c>
      <c r="L278">
        <v>10.6</v>
      </c>
      <c r="M278" t="s">
        <v>23</v>
      </c>
      <c r="N278" s="7">
        <v>44740</v>
      </c>
      <c r="O278" t="str" cm="1">
        <f t="array" ref="O278">_xlfn.IFS(tbl_loans_clean[[#This Row],[Credit_Score]]&lt;650,"580-649",tbl_loans_clean[[#This Row],[Credit_Score]]&lt;700,"650-699",tbl_loans_clean[[#This Row],[Credit_Score]]&lt;750,"700-749",TRUE,"750+")</f>
        <v>580-649</v>
      </c>
    </row>
    <row r="279" spans="1:15" x14ac:dyDescent="0.35">
      <c r="A279" t="s">
        <v>451</v>
      </c>
      <c r="B279" t="s">
        <v>30</v>
      </c>
      <c r="C279" t="s">
        <v>34</v>
      </c>
      <c r="D279" t="s">
        <v>32</v>
      </c>
      <c r="E279">
        <v>437995</v>
      </c>
      <c r="F279">
        <v>11.99</v>
      </c>
      <c r="G279">
        <v>120</v>
      </c>
      <c r="H279">
        <v>165941</v>
      </c>
      <c r="I279">
        <v>653</v>
      </c>
      <c r="J279" t="s">
        <v>18</v>
      </c>
      <c r="K279">
        <v>11</v>
      </c>
      <c r="L279">
        <v>22.7</v>
      </c>
      <c r="M279" t="s">
        <v>23</v>
      </c>
      <c r="N279" s="7">
        <v>44742</v>
      </c>
      <c r="O279" t="str" cm="1">
        <f t="array" ref="O279">_xlfn.IFS(tbl_loans_clean[[#This Row],[Credit_Score]]&lt;650,"580-649",tbl_loans_clean[[#This Row],[Credit_Score]]&lt;700,"650-699",tbl_loans_clean[[#This Row],[Credit_Score]]&lt;750,"700-749",TRUE,"750+")</f>
        <v>650-699</v>
      </c>
    </row>
    <row r="280" spans="1:15" x14ac:dyDescent="0.35">
      <c r="A280" t="s">
        <v>540</v>
      </c>
      <c r="B280" t="s">
        <v>21</v>
      </c>
      <c r="C280" t="s">
        <v>16</v>
      </c>
      <c r="D280" t="s">
        <v>38</v>
      </c>
      <c r="E280">
        <v>739275</v>
      </c>
      <c r="F280">
        <v>5.23</v>
      </c>
      <c r="G280">
        <v>60</v>
      </c>
      <c r="H280">
        <v>28901</v>
      </c>
      <c r="I280">
        <v>816</v>
      </c>
      <c r="J280" t="s">
        <v>18</v>
      </c>
      <c r="K280">
        <v>7.2</v>
      </c>
      <c r="L280">
        <v>45.8</v>
      </c>
      <c r="M280" t="s">
        <v>55</v>
      </c>
      <c r="N280" s="7">
        <v>44742</v>
      </c>
      <c r="O280" t="str" cm="1">
        <f t="array" ref="O280">_xlfn.IFS(tbl_loans_clean[[#This Row],[Credit_Score]]&lt;650,"580-649",tbl_loans_clean[[#This Row],[Credit_Score]]&lt;700,"650-699",tbl_loans_clean[[#This Row],[Credit_Score]]&lt;750,"700-749",TRUE,"750+")</f>
        <v>750+</v>
      </c>
    </row>
    <row r="281" spans="1:15" x14ac:dyDescent="0.35">
      <c r="A281" t="s">
        <v>87</v>
      </c>
      <c r="B281" t="s">
        <v>15</v>
      </c>
      <c r="C281" t="s">
        <v>34</v>
      </c>
      <c r="D281" t="s">
        <v>43</v>
      </c>
      <c r="E281">
        <v>64500</v>
      </c>
      <c r="F281">
        <v>7.19</v>
      </c>
      <c r="G281">
        <v>120</v>
      </c>
      <c r="H281">
        <v>202131</v>
      </c>
      <c r="I281">
        <v>775</v>
      </c>
      <c r="J281" t="s">
        <v>26</v>
      </c>
      <c r="K281">
        <v>7.8</v>
      </c>
      <c r="L281">
        <v>43.6</v>
      </c>
      <c r="M281" t="s">
        <v>55</v>
      </c>
      <c r="N281" s="7">
        <v>44747</v>
      </c>
      <c r="O281" t="str" cm="1">
        <f t="array" ref="O281">_xlfn.IFS(tbl_loans_clean[[#This Row],[Credit_Score]]&lt;650,"580-649",tbl_loans_clean[[#This Row],[Credit_Score]]&lt;700,"650-699",tbl_loans_clean[[#This Row],[Credit_Score]]&lt;750,"700-749",TRUE,"750+")</f>
        <v>750+</v>
      </c>
    </row>
    <row r="282" spans="1:15" x14ac:dyDescent="0.35">
      <c r="A282" t="s">
        <v>408</v>
      </c>
      <c r="B282" t="s">
        <v>21</v>
      </c>
      <c r="C282" t="s">
        <v>34</v>
      </c>
      <c r="D282" t="s">
        <v>17</v>
      </c>
      <c r="E282">
        <v>348567</v>
      </c>
      <c r="F282">
        <v>5.12</v>
      </c>
      <c r="G282">
        <v>36</v>
      </c>
      <c r="H282">
        <v>214504</v>
      </c>
      <c r="I282">
        <v>704</v>
      </c>
      <c r="J282" t="s">
        <v>39</v>
      </c>
      <c r="K282">
        <v>12.5</v>
      </c>
      <c r="L282">
        <v>11.4</v>
      </c>
      <c r="M282" t="s">
        <v>23</v>
      </c>
      <c r="N282" s="7">
        <v>44749</v>
      </c>
      <c r="O282" t="str" cm="1">
        <f t="array" ref="O282">_xlfn.IFS(tbl_loans_clean[[#This Row],[Credit_Score]]&lt;650,"580-649",tbl_loans_clean[[#This Row],[Credit_Score]]&lt;700,"650-699",tbl_loans_clean[[#This Row],[Credit_Score]]&lt;750,"700-749",TRUE,"750+")</f>
        <v>700-749</v>
      </c>
    </row>
    <row r="283" spans="1:15" x14ac:dyDescent="0.35">
      <c r="A283" t="s">
        <v>756</v>
      </c>
      <c r="B283" t="s">
        <v>30</v>
      </c>
      <c r="C283" t="s">
        <v>22</v>
      </c>
      <c r="D283" t="s">
        <v>52</v>
      </c>
      <c r="E283">
        <v>216509</v>
      </c>
      <c r="F283">
        <v>11.68</v>
      </c>
      <c r="G283">
        <v>48</v>
      </c>
      <c r="H283">
        <v>50504</v>
      </c>
      <c r="I283">
        <v>678</v>
      </c>
      <c r="J283" t="s">
        <v>18</v>
      </c>
      <c r="K283">
        <v>21.1</v>
      </c>
      <c r="L283">
        <v>19.3</v>
      </c>
      <c r="M283" t="s">
        <v>55</v>
      </c>
      <c r="N283" s="7">
        <v>44750</v>
      </c>
      <c r="O283" t="str" cm="1">
        <f t="array" ref="O283">_xlfn.IFS(tbl_loans_clean[[#This Row],[Credit_Score]]&lt;650,"580-649",tbl_loans_clean[[#This Row],[Credit_Score]]&lt;700,"650-699",tbl_loans_clean[[#This Row],[Credit_Score]]&lt;750,"700-749",TRUE,"750+")</f>
        <v>650-699</v>
      </c>
    </row>
    <row r="284" spans="1:15" x14ac:dyDescent="0.35">
      <c r="A284" t="s">
        <v>376</v>
      </c>
      <c r="B284" t="s">
        <v>30</v>
      </c>
      <c r="C284" t="s">
        <v>16</v>
      </c>
      <c r="D284" t="s">
        <v>45</v>
      </c>
      <c r="E284">
        <v>387736</v>
      </c>
      <c r="F284">
        <v>8.1</v>
      </c>
      <c r="G284">
        <v>240</v>
      </c>
      <c r="H284">
        <v>209455</v>
      </c>
      <c r="I284">
        <v>733</v>
      </c>
      <c r="J284" t="s">
        <v>18</v>
      </c>
      <c r="K284">
        <v>11.8</v>
      </c>
      <c r="L284">
        <v>11.8</v>
      </c>
      <c r="M284" t="s">
        <v>23</v>
      </c>
      <c r="N284" s="7">
        <v>44752</v>
      </c>
      <c r="O284" t="str" cm="1">
        <f t="array" ref="O284">_xlfn.IFS(tbl_loans_clean[[#This Row],[Credit_Score]]&lt;650,"580-649",tbl_loans_clean[[#This Row],[Credit_Score]]&lt;700,"650-699",tbl_loans_clean[[#This Row],[Credit_Score]]&lt;750,"700-749",TRUE,"750+")</f>
        <v>700-749</v>
      </c>
    </row>
    <row r="285" spans="1:15" x14ac:dyDescent="0.35">
      <c r="A285" t="s">
        <v>208</v>
      </c>
      <c r="B285" t="s">
        <v>30</v>
      </c>
      <c r="C285" t="s">
        <v>22</v>
      </c>
      <c r="D285" t="s">
        <v>32</v>
      </c>
      <c r="E285">
        <v>163175</v>
      </c>
      <c r="F285">
        <v>9.35</v>
      </c>
      <c r="G285">
        <v>240</v>
      </c>
      <c r="H285">
        <v>29539</v>
      </c>
      <c r="I285">
        <v>807</v>
      </c>
      <c r="J285" t="s">
        <v>18</v>
      </c>
      <c r="K285">
        <v>12.6</v>
      </c>
      <c r="L285">
        <v>44.5</v>
      </c>
      <c r="M285" t="s">
        <v>55</v>
      </c>
      <c r="N285" s="7">
        <v>44754</v>
      </c>
      <c r="O285" t="str" cm="1">
        <f t="array" ref="O285">_xlfn.IFS(tbl_loans_clean[[#This Row],[Credit_Score]]&lt;650,"580-649",tbl_loans_clean[[#This Row],[Credit_Score]]&lt;700,"650-699",tbl_loans_clean[[#This Row],[Credit_Score]]&lt;750,"700-749",TRUE,"750+")</f>
        <v>750+</v>
      </c>
    </row>
    <row r="286" spans="1:15" x14ac:dyDescent="0.35">
      <c r="A286" t="s">
        <v>347</v>
      </c>
      <c r="B286" t="s">
        <v>110</v>
      </c>
      <c r="C286" t="s">
        <v>22</v>
      </c>
      <c r="D286" t="s">
        <v>17</v>
      </c>
      <c r="E286">
        <v>548296</v>
      </c>
      <c r="F286">
        <v>3.31</v>
      </c>
      <c r="G286">
        <v>300</v>
      </c>
      <c r="H286">
        <v>64133</v>
      </c>
      <c r="I286">
        <v>817</v>
      </c>
      <c r="J286" t="s">
        <v>18</v>
      </c>
      <c r="K286">
        <v>1.3</v>
      </c>
      <c r="L286">
        <v>45.8</v>
      </c>
      <c r="M286" t="s">
        <v>23</v>
      </c>
      <c r="N286" s="7">
        <v>44754</v>
      </c>
      <c r="O286" t="str" cm="1">
        <f t="array" ref="O286">_xlfn.IFS(tbl_loans_clean[[#This Row],[Credit_Score]]&lt;650,"580-649",tbl_loans_clean[[#This Row],[Credit_Score]]&lt;700,"650-699",tbl_loans_clean[[#This Row],[Credit_Score]]&lt;750,"700-749",TRUE,"750+")</f>
        <v>750+</v>
      </c>
    </row>
    <row r="287" spans="1:15" x14ac:dyDescent="0.35">
      <c r="A287" t="s">
        <v>195</v>
      </c>
      <c r="B287" t="s">
        <v>110</v>
      </c>
      <c r="C287" t="s">
        <v>22</v>
      </c>
      <c r="D287" t="s">
        <v>52</v>
      </c>
      <c r="E287">
        <v>107239</v>
      </c>
      <c r="F287">
        <v>6.26</v>
      </c>
      <c r="G287">
        <v>48</v>
      </c>
      <c r="H287">
        <v>45576</v>
      </c>
      <c r="I287">
        <v>684</v>
      </c>
      <c r="J287" t="s">
        <v>39</v>
      </c>
      <c r="K287">
        <v>8.1999999999999993</v>
      </c>
      <c r="L287">
        <v>18.100000000000001</v>
      </c>
      <c r="M287" t="s">
        <v>19</v>
      </c>
      <c r="N287" s="7">
        <v>44755</v>
      </c>
      <c r="O287" t="str" cm="1">
        <f t="array" ref="O287">_xlfn.IFS(tbl_loans_clean[[#This Row],[Credit_Score]]&lt;650,"580-649",tbl_loans_clean[[#This Row],[Credit_Score]]&lt;700,"650-699",tbl_loans_clean[[#This Row],[Credit_Score]]&lt;750,"700-749",TRUE,"750+")</f>
        <v>650-699</v>
      </c>
    </row>
    <row r="288" spans="1:15" x14ac:dyDescent="0.35">
      <c r="A288" t="s">
        <v>761</v>
      </c>
      <c r="B288" t="s">
        <v>25</v>
      </c>
      <c r="C288" t="s">
        <v>34</v>
      </c>
      <c r="D288" t="s">
        <v>32</v>
      </c>
      <c r="E288">
        <v>718087</v>
      </c>
      <c r="F288">
        <v>9.59</v>
      </c>
      <c r="G288">
        <v>60</v>
      </c>
      <c r="H288">
        <v>170767</v>
      </c>
      <c r="I288">
        <v>767</v>
      </c>
      <c r="J288" t="s">
        <v>26</v>
      </c>
      <c r="K288">
        <v>15</v>
      </c>
      <c r="L288">
        <v>36.4</v>
      </c>
      <c r="M288" t="s">
        <v>23</v>
      </c>
      <c r="N288" s="7">
        <v>44755</v>
      </c>
      <c r="O288" t="str" cm="1">
        <f t="array" ref="O288">_xlfn.IFS(tbl_loans_clean[[#This Row],[Credit_Score]]&lt;650,"580-649",tbl_loans_clean[[#This Row],[Credit_Score]]&lt;700,"650-699",tbl_loans_clean[[#This Row],[Credit_Score]]&lt;750,"700-749",TRUE,"750+")</f>
        <v>750+</v>
      </c>
    </row>
    <row r="289" spans="1:15" x14ac:dyDescent="0.35">
      <c r="A289" t="s">
        <v>126</v>
      </c>
      <c r="B289" t="s">
        <v>30</v>
      </c>
      <c r="C289" t="s">
        <v>22</v>
      </c>
      <c r="D289" t="s">
        <v>43</v>
      </c>
      <c r="E289">
        <v>699780</v>
      </c>
      <c r="F289">
        <v>8.66</v>
      </c>
      <c r="G289">
        <v>240</v>
      </c>
      <c r="H289">
        <v>179818</v>
      </c>
      <c r="I289">
        <v>636</v>
      </c>
      <c r="J289" t="s">
        <v>39</v>
      </c>
      <c r="K289">
        <v>4.7</v>
      </c>
      <c r="L289">
        <v>33.1</v>
      </c>
      <c r="M289" t="s">
        <v>19</v>
      </c>
      <c r="N289" s="7">
        <v>44756</v>
      </c>
      <c r="O289" t="str" cm="1">
        <f t="array" ref="O289">_xlfn.IFS(tbl_loans_clean[[#This Row],[Credit_Score]]&lt;650,"580-649",tbl_loans_clean[[#This Row],[Credit_Score]]&lt;700,"650-699",tbl_loans_clean[[#This Row],[Credit_Score]]&lt;750,"700-749",TRUE,"750+")</f>
        <v>580-649</v>
      </c>
    </row>
    <row r="290" spans="1:15" x14ac:dyDescent="0.35">
      <c r="A290" t="s">
        <v>261</v>
      </c>
      <c r="B290" t="s">
        <v>28</v>
      </c>
      <c r="C290" t="s">
        <v>16</v>
      </c>
      <c r="D290" t="s">
        <v>17</v>
      </c>
      <c r="E290">
        <v>223401</v>
      </c>
      <c r="F290">
        <v>7.23</v>
      </c>
      <c r="G290">
        <v>48</v>
      </c>
      <c r="H290">
        <v>35211</v>
      </c>
      <c r="I290">
        <v>596</v>
      </c>
      <c r="J290" t="s">
        <v>26</v>
      </c>
      <c r="K290">
        <v>16.2</v>
      </c>
      <c r="L290">
        <v>33.700000000000003</v>
      </c>
      <c r="M290" t="s">
        <v>19</v>
      </c>
      <c r="N290" s="7">
        <v>44758</v>
      </c>
      <c r="O290" t="str" cm="1">
        <f t="array" ref="O290">_xlfn.IFS(tbl_loans_clean[[#This Row],[Credit_Score]]&lt;650,"580-649",tbl_loans_clean[[#This Row],[Credit_Score]]&lt;700,"650-699",tbl_loans_clean[[#This Row],[Credit_Score]]&lt;750,"700-749",TRUE,"750+")</f>
        <v>580-649</v>
      </c>
    </row>
    <row r="291" spans="1:15" x14ac:dyDescent="0.35">
      <c r="A291" t="s">
        <v>214</v>
      </c>
      <c r="B291" t="s">
        <v>30</v>
      </c>
      <c r="C291" t="s">
        <v>22</v>
      </c>
      <c r="D291" t="s">
        <v>52</v>
      </c>
      <c r="E291">
        <v>682673</v>
      </c>
      <c r="F291">
        <v>3.97</v>
      </c>
      <c r="G291">
        <v>240</v>
      </c>
      <c r="H291">
        <v>169382</v>
      </c>
      <c r="I291">
        <v>770</v>
      </c>
      <c r="J291" t="s">
        <v>39</v>
      </c>
      <c r="K291">
        <v>3.9</v>
      </c>
      <c r="L291">
        <v>46.9</v>
      </c>
      <c r="M291" t="s">
        <v>23</v>
      </c>
      <c r="N291" s="7">
        <v>44762</v>
      </c>
      <c r="O291" t="str" cm="1">
        <f t="array" ref="O291">_xlfn.IFS(tbl_loans_clean[[#This Row],[Credit_Score]]&lt;650,"580-649",tbl_loans_clean[[#This Row],[Credit_Score]]&lt;700,"650-699",tbl_loans_clean[[#This Row],[Credit_Score]]&lt;750,"700-749",TRUE,"750+")</f>
        <v>750+</v>
      </c>
    </row>
    <row r="292" spans="1:15" x14ac:dyDescent="0.35">
      <c r="A292" t="s">
        <v>607</v>
      </c>
      <c r="B292" t="s">
        <v>15</v>
      </c>
      <c r="C292" t="s">
        <v>22</v>
      </c>
      <c r="D292" t="s">
        <v>52</v>
      </c>
      <c r="E292">
        <v>73431</v>
      </c>
      <c r="F292">
        <v>12.22</v>
      </c>
      <c r="G292">
        <v>300</v>
      </c>
      <c r="H292">
        <v>183234</v>
      </c>
      <c r="I292">
        <v>753</v>
      </c>
      <c r="J292" t="s">
        <v>18</v>
      </c>
      <c r="K292">
        <v>23.3</v>
      </c>
      <c r="L292">
        <v>37.799999999999997</v>
      </c>
      <c r="M292" t="s">
        <v>19</v>
      </c>
      <c r="N292" s="7">
        <v>44762</v>
      </c>
      <c r="O292" t="str" cm="1">
        <f t="array" ref="O292">_xlfn.IFS(tbl_loans_clean[[#This Row],[Credit_Score]]&lt;650,"580-649",tbl_loans_clean[[#This Row],[Credit_Score]]&lt;700,"650-699",tbl_loans_clean[[#This Row],[Credit_Score]]&lt;750,"700-749",TRUE,"750+")</f>
        <v>750+</v>
      </c>
    </row>
    <row r="293" spans="1:15" x14ac:dyDescent="0.35">
      <c r="A293" t="s">
        <v>389</v>
      </c>
      <c r="B293" t="s">
        <v>30</v>
      </c>
      <c r="C293" t="s">
        <v>16</v>
      </c>
      <c r="D293" t="s">
        <v>17</v>
      </c>
      <c r="E293">
        <v>59575</v>
      </c>
      <c r="F293">
        <v>3.29</v>
      </c>
      <c r="G293">
        <v>240</v>
      </c>
      <c r="H293">
        <v>42506</v>
      </c>
      <c r="I293">
        <v>748</v>
      </c>
      <c r="J293" t="s">
        <v>18</v>
      </c>
      <c r="K293">
        <v>14.5</v>
      </c>
      <c r="L293">
        <v>18</v>
      </c>
      <c r="M293" t="s">
        <v>23</v>
      </c>
      <c r="N293" s="7">
        <v>44764</v>
      </c>
      <c r="O293" t="str" cm="1">
        <f t="array" ref="O293">_xlfn.IFS(tbl_loans_clean[[#This Row],[Credit_Score]]&lt;650,"580-649",tbl_loans_clean[[#This Row],[Credit_Score]]&lt;700,"650-699",tbl_loans_clean[[#This Row],[Credit_Score]]&lt;750,"700-749",TRUE,"750+")</f>
        <v>700-749</v>
      </c>
    </row>
    <row r="294" spans="1:15" x14ac:dyDescent="0.35">
      <c r="A294" t="s">
        <v>362</v>
      </c>
      <c r="B294" t="s">
        <v>15</v>
      </c>
      <c r="C294" t="s">
        <v>34</v>
      </c>
      <c r="D294" t="s">
        <v>45</v>
      </c>
      <c r="E294">
        <v>396858</v>
      </c>
      <c r="F294">
        <v>7.58</v>
      </c>
      <c r="G294">
        <v>48</v>
      </c>
      <c r="H294">
        <v>197292</v>
      </c>
      <c r="I294">
        <v>734</v>
      </c>
      <c r="J294" t="s">
        <v>18</v>
      </c>
      <c r="K294">
        <v>2</v>
      </c>
      <c r="L294">
        <v>12</v>
      </c>
      <c r="M294" t="s">
        <v>23</v>
      </c>
      <c r="N294" s="7">
        <v>44767</v>
      </c>
      <c r="O294" t="str" cm="1">
        <f t="array" ref="O294">_xlfn.IFS(tbl_loans_clean[[#This Row],[Credit_Score]]&lt;650,"580-649",tbl_loans_clean[[#This Row],[Credit_Score]]&lt;700,"650-699",tbl_loans_clean[[#This Row],[Credit_Score]]&lt;750,"700-749",TRUE,"750+")</f>
        <v>700-749</v>
      </c>
    </row>
    <row r="295" spans="1:15" x14ac:dyDescent="0.35">
      <c r="A295" t="s">
        <v>442</v>
      </c>
      <c r="B295" t="s">
        <v>30</v>
      </c>
      <c r="C295" t="s">
        <v>16</v>
      </c>
      <c r="D295" t="s">
        <v>17</v>
      </c>
      <c r="E295">
        <v>454076</v>
      </c>
      <c r="F295">
        <v>6.87</v>
      </c>
      <c r="G295">
        <v>240</v>
      </c>
      <c r="H295">
        <v>198521</v>
      </c>
      <c r="I295">
        <v>699</v>
      </c>
      <c r="J295" t="s">
        <v>39</v>
      </c>
      <c r="K295">
        <v>8</v>
      </c>
      <c r="L295">
        <v>18.7</v>
      </c>
      <c r="M295" t="s">
        <v>23</v>
      </c>
      <c r="N295" s="7">
        <v>44771</v>
      </c>
      <c r="O295" t="str" cm="1">
        <f t="array" ref="O295">_xlfn.IFS(tbl_loans_clean[[#This Row],[Credit_Score]]&lt;650,"580-649",tbl_loans_clean[[#This Row],[Credit_Score]]&lt;700,"650-699",tbl_loans_clean[[#This Row],[Credit_Score]]&lt;750,"700-749",TRUE,"750+")</f>
        <v>650-699</v>
      </c>
    </row>
    <row r="296" spans="1:15" x14ac:dyDescent="0.35">
      <c r="A296" t="s">
        <v>178</v>
      </c>
      <c r="B296" t="s">
        <v>28</v>
      </c>
      <c r="C296" t="s">
        <v>34</v>
      </c>
      <c r="D296" t="s">
        <v>17</v>
      </c>
      <c r="E296">
        <v>118613</v>
      </c>
      <c r="F296">
        <v>8.1</v>
      </c>
      <c r="G296">
        <v>240</v>
      </c>
      <c r="H296">
        <v>160018</v>
      </c>
      <c r="I296">
        <v>666</v>
      </c>
      <c r="J296" t="s">
        <v>26</v>
      </c>
      <c r="K296">
        <v>14.1</v>
      </c>
      <c r="L296">
        <v>32.200000000000003</v>
      </c>
      <c r="M296" t="s">
        <v>55</v>
      </c>
      <c r="N296" s="7">
        <v>44775</v>
      </c>
      <c r="O296" t="str" cm="1">
        <f t="array" ref="O296">_xlfn.IFS(tbl_loans_clean[[#This Row],[Credit_Score]]&lt;650,"580-649",tbl_loans_clean[[#This Row],[Credit_Score]]&lt;700,"650-699",tbl_loans_clean[[#This Row],[Credit_Score]]&lt;750,"700-749",TRUE,"750+")</f>
        <v>650-699</v>
      </c>
    </row>
    <row r="297" spans="1:15" x14ac:dyDescent="0.35">
      <c r="A297" t="s">
        <v>498</v>
      </c>
      <c r="B297" t="s">
        <v>30</v>
      </c>
      <c r="C297" t="s">
        <v>22</v>
      </c>
      <c r="D297" t="s">
        <v>32</v>
      </c>
      <c r="E297">
        <v>681296</v>
      </c>
      <c r="F297">
        <v>11.81</v>
      </c>
      <c r="G297">
        <v>48</v>
      </c>
      <c r="H297">
        <v>208074</v>
      </c>
      <c r="I297">
        <v>592</v>
      </c>
      <c r="J297" t="s">
        <v>18</v>
      </c>
      <c r="K297">
        <v>16.5</v>
      </c>
      <c r="L297">
        <v>32.299999999999997</v>
      </c>
      <c r="M297" t="s">
        <v>23</v>
      </c>
      <c r="N297" s="7">
        <v>44776</v>
      </c>
      <c r="O297" t="str" cm="1">
        <f t="array" ref="O297">_xlfn.IFS(tbl_loans_clean[[#This Row],[Credit_Score]]&lt;650,"580-649",tbl_loans_clean[[#This Row],[Credit_Score]]&lt;700,"650-699",tbl_loans_clean[[#This Row],[Credit_Score]]&lt;750,"700-749",TRUE,"750+")</f>
        <v>580-649</v>
      </c>
    </row>
    <row r="298" spans="1:15" x14ac:dyDescent="0.35">
      <c r="A298" t="s">
        <v>688</v>
      </c>
      <c r="B298" t="s">
        <v>28</v>
      </c>
      <c r="C298" t="s">
        <v>16</v>
      </c>
      <c r="D298" t="s">
        <v>17</v>
      </c>
      <c r="E298">
        <v>162608</v>
      </c>
      <c r="F298">
        <v>7.43</v>
      </c>
      <c r="G298">
        <v>36</v>
      </c>
      <c r="H298">
        <v>33586</v>
      </c>
      <c r="I298">
        <v>687</v>
      </c>
      <c r="J298" t="s">
        <v>18</v>
      </c>
      <c r="K298">
        <v>8</v>
      </c>
      <c r="L298">
        <v>21.8</v>
      </c>
      <c r="M298" t="s">
        <v>23</v>
      </c>
      <c r="N298" s="7">
        <v>44777</v>
      </c>
      <c r="O298" t="str" cm="1">
        <f t="array" ref="O298">_xlfn.IFS(tbl_loans_clean[[#This Row],[Credit_Score]]&lt;650,"580-649",tbl_loans_clean[[#This Row],[Credit_Score]]&lt;700,"650-699",tbl_loans_clean[[#This Row],[Credit_Score]]&lt;750,"700-749",TRUE,"750+")</f>
        <v>650-699</v>
      </c>
    </row>
    <row r="299" spans="1:15" x14ac:dyDescent="0.35">
      <c r="A299" t="s">
        <v>740</v>
      </c>
      <c r="B299" t="s">
        <v>30</v>
      </c>
      <c r="C299" t="s">
        <v>22</v>
      </c>
      <c r="D299" t="s">
        <v>17</v>
      </c>
      <c r="E299">
        <v>277919</v>
      </c>
      <c r="F299">
        <v>9.43</v>
      </c>
      <c r="G299">
        <v>120</v>
      </c>
      <c r="H299">
        <v>30716</v>
      </c>
      <c r="I299">
        <v>615</v>
      </c>
      <c r="J299" t="s">
        <v>18</v>
      </c>
      <c r="K299">
        <v>18.8</v>
      </c>
      <c r="L299">
        <v>14.3</v>
      </c>
      <c r="M299" t="s">
        <v>55</v>
      </c>
      <c r="N299" s="7">
        <v>44777</v>
      </c>
      <c r="O299" t="str" cm="1">
        <f t="array" ref="O299">_xlfn.IFS(tbl_loans_clean[[#This Row],[Credit_Score]]&lt;650,"580-649",tbl_loans_clean[[#This Row],[Credit_Score]]&lt;700,"650-699",tbl_loans_clean[[#This Row],[Credit_Score]]&lt;750,"700-749",TRUE,"750+")</f>
        <v>580-649</v>
      </c>
    </row>
    <row r="300" spans="1:15" x14ac:dyDescent="0.35">
      <c r="A300" t="s">
        <v>679</v>
      </c>
      <c r="B300" t="s">
        <v>30</v>
      </c>
      <c r="C300" t="s">
        <v>16</v>
      </c>
      <c r="D300" t="s">
        <v>17</v>
      </c>
      <c r="E300">
        <v>647762</v>
      </c>
      <c r="F300">
        <v>6.35</v>
      </c>
      <c r="G300">
        <v>240</v>
      </c>
      <c r="H300">
        <v>32239</v>
      </c>
      <c r="I300">
        <v>745</v>
      </c>
      <c r="J300" t="s">
        <v>18</v>
      </c>
      <c r="K300">
        <v>12.7</v>
      </c>
      <c r="L300">
        <v>41.5</v>
      </c>
      <c r="M300" t="s">
        <v>23</v>
      </c>
      <c r="N300" s="7">
        <v>44778</v>
      </c>
      <c r="O300" t="str" cm="1">
        <f t="array" ref="O300">_xlfn.IFS(tbl_loans_clean[[#This Row],[Credit_Score]]&lt;650,"580-649",tbl_loans_clean[[#This Row],[Credit_Score]]&lt;700,"650-699",tbl_loans_clean[[#This Row],[Credit_Score]]&lt;750,"700-749",TRUE,"750+")</f>
        <v>700-749</v>
      </c>
    </row>
    <row r="301" spans="1:15" x14ac:dyDescent="0.35">
      <c r="A301" t="s">
        <v>274</v>
      </c>
      <c r="B301" t="s">
        <v>15</v>
      </c>
      <c r="C301" t="s">
        <v>22</v>
      </c>
      <c r="D301" t="s">
        <v>38</v>
      </c>
      <c r="E301">
        <v>640329</v>
      </c>
      <c r="F301">
        <v>7.64</v>
      </c>
      <c r="G301">
        <v>240</v>
      </c>
      <c r="H301">
        <v>78013</v>
      </c>
      <c r="I301">
        <v>826</v>
      </c>
      <c r="J301" t="s">
        <v>26</v>
      </c>
      <c r="K301">
        <v>12.3</v>
      </c>
      <c r="L301">
        <v>28.2</v>
      </c>
      <c r="M301" t="s">
        <v>19</v>
      </c>
      <c r="N301" s="7">
        <v>44779</v>
      </c>
      <c r="O301" t="str" cm="1">
        <f t="array" ref="O301">_xlfn.IFS(tbl_loans_clean[[#This Row],[Credit_Score]]&lt;650,"580-649",tbl_loans_clean[[#This Row],[Credit_Score]]&lt;700,"650-699",tbl_loans_clean[[#This Row],[Credit_Score]]&lt;750,"700-749",TRUE,"750+")</f>
        <v>750+</v>
      </c>
    </row>
    <row r="302" spans="1:15" x14ac:dyDescent="0.35">
      <c r="A302" t="s">
        <v>223</v>
      </c>
      <c r="B302" t="s">
        <v>71</v>
      </c>
      <c r="C302" t="s">
        <v>22</v>
      </c>
      <c r="D302" t="s">
        <v>32</v>
      </c>
      <c r="E302">
        <v>294954</v>
      </c>
      <c r="F302">
        <v>12.1</v>
      </c>
      <c r="G302">
        <v>48</v>
      </c>
      <c r="H302">
        <v>76785</v>
      </c>
      <c r="I302">
        <v>734</v>
      </c>
      <c r="J302" t="s">
        <v>18</v>
      </c>
      <c r="K302">
        <v>19.399999999999999</v>
      </c>
      <c r="L302">
        <v>21.5</v>
      </c>
      <c r="M302" t="s">
        <v>19</v>
      </c>
      <c r="N302" s="7">
        <v>44781</v>
      </c>
      <c r="O302" t="str" cm="1">
        <f t="array" ref="O302">_xlfn.IFS(tbl_loans_clean[[#This Row],[Credit_Score]]&lt;650,"580-649",tbl_loans_clean[[#This Row],[Credit_Score]]&lt;700,"650-699",tbl_loans_clean[[#This Row],[Credit_Score]]&lt;750,"700-749",TRUE,"750+")</f>
        <v>700-749</v>
      </c>
    </row>
    <row r="303" spans="1:15" x14ac:dyDescent="0.35">
      <c r="A303" t="s">
        <v>154</v>
      </c>
      <c r="B303" t="s">
        <v>25</v>
      </c>
      <c r="C303" t="s">
        <v>22</v>
      </c>
      <c r="D303" t="s">
        <v>32</v>
      </c>
      <c r="E303">
        <v>165761</v>
      </c>
      <c r="F303">
        <v>13.88</v>
      </c>
      <c r="G303">
        <v>12</v>
      </c>
      <c r="H303">
        <v>68475</v>
      </c>
      <c r="I303">
        <v>660</v>
      </c>
      <c r="J303" t="s">
        <v>18</v>
      </c>
      <c r="K303">
        <v>14.6</v>
      </c>
      <c r="L303">
        <v>10.1</v>
      </c>
      <c r="M303" t="s">
        <v>23</v>
      </c>
      <c r="N303" s="7">
        <v>44782</v>
      </c>
      <c r="O303" t="str" cm="1">
        <f t="array" ref="O303">_xlfn.IFS(tbl_loans_clean[[#This Row],[Credit_Score]]&lt;650,"580-649",tbl_loans_clean[[#This Row],[Credit_Score]]&lt;700,"650-699",tbl_loans_clean[[#This Row],[Credit_Score]]&lt;750,"700-749",TRUE,"750+")</f>
        <v>650-699</v>
      </c>
    </row>
    <row r="304" spans="1:15" x14ac:dyDescent="0.35">
      <c r="A304" t="s">
        <v>824</v>
      </c>
      <c r="B304" t="s">
        <v>30</v>
      </c>
      <c r="C304" t="s">
        <v>16</v>
      </c>
      <c r="D304" t="s">
        <v>73</v>
      </c>
      <c r="E304">
        <v>70942</v>
      </c>
      <c r="F304">
        <v>7.75</v>
      </c>
      <c r="G304">
        <v>300</v>
      </c>
      <c r="H304">
        <v>130739</v>
      </c>
      <c r="I304">
        <v>657</v>
      </c>
      <c r="J304" t="s">
        <v>18</v>
      </c>
      <c r="K304">
        <v>11.1</v>
      </c>
      <c r="L304">
        <v>14.3</v>
      </c>
      <c r="M304" t="s">
        <v>23</v>
      </c>
      <c r="N304" s="7">
        <v>44782</v>
      </c>
      <c r="O304" t="str" cm="1">
        <f t="array" ref="O304">_xlfn.IFS(tbl_loans_clean[[#This Row],[Credit_Score]]&lt;650,"580-649",tbl_loans_clean[[#This Row],[Credit_Score]]&lt;700,"650-699",tbl_loans_clean[[#This Row],[Credit_Score]]&lt;750,"700-749",TRUE,"750+")</f>
        <v>650-699</v>
      </c>
    </row>
    <row r="305" spans="1:15" x14ac:dyDescent="0.35">
      <c r="A305" t="s">
        <v>400</v>
      </c>
      <c r="B305" t="s">
        <v>71</v>
      </c>
      <c r="C305" t="s">
        <v>34</v>
      </c>
      <c r="D305" t="s">
        <v>45</v>
      </c>
      <c r="E305">
        <v>472835</v>
      </c>
      <c r="F305">
        <v>12.04</v>
      </c>
      <c r="G305">
        <v>12</v>
      </c>
      <c r="H305">
        <v>187163</v>
      </c>
      <c r="I305">
        <v>700</v>
      </c>
      <c r="J305" t="s">
        <v>18</v>
      </c>
      <c r="K305">
        <v>21.7</v>
      </c>
      <c r="L305">
        <v>25</v>
      </c>
      <c r="M305" t="s">
        <v>23</v>
      </c>
      <c r="N305" s="7">
        <v>44784</v>
      </c>
      <c r="O305" t="str" cm="1">
        <f t="array" ref="O305">_xlfn.IFS(tbl_loans_clean[[#This Row],[Credit_Score]]&lt;650,"580-649",tbl_loans_clean[[#This Row],[Credit_Score]]&lt;700,"650-699",tbl_loans_clean[[#This Row],[Credit_Score]]&lt;750,"700-749",TRUE,"750+")</f>
        <v>700-749</v>
      </c>
    </row>
    <row r="306" spans="1:15" x14ac:dyDescent="0.35">
      <c r="A306" t="s">
        <v>207</v>
      </c>
      <c r="B306" t="s">
        <v>30</v>
      </c>
      <c r="C306" t="s">
        <v>16</v>
      </c>
      <c r="D306" t="s">
        <v>38</v>
      </c>
      <c r="E306">
        <v>628729</v>
      </c>
      <c r="F306">
        <v>13.74</v>
      </c>
      <c r="G306">
        <v>60</v>
      </c>
      <c r="H306">
        <v>37121</v>
      </c>
      <c r="I306">
        <v>737</v>
      </c>
      <c r="J306" t="s">
        <v>18</v>
      </c>
      <c r="K306">
        <v>19</v>
      </c>
      <c r="L306">
        <v>45.5</v>
      </c>
      <c r="M306" t="s">
        <v>23</v>
      </c>
      <c r="N306" s="7">
        <v>44785</v>
      </c>
      <c r="O306" t="str" cm="1">
        <f t="array" ref="O306">_xlfn.IFS(tbl_loans_clean[[#This Row],[Credit_Score]]&lt;650,"580-649",tbl_loans_clean[[#This Row],[Credit_Score]]&lt;700,"650-699",tbl_loans_clean[[#This Row],[Credit_Score]]&lt;750,"700-749",TRUE,"750+")</f>
        <v>700-749</v>
      </c>
    </row>
    <row r="307" spans="1:15" x14ac:dyDescent="0.35">
      <c r="A307" t="s">
        <v>158</v>
      </c>
      <c r="B307" t="s">
        <v>30</v>
      </c>
      <c r="C307" t="s">
        <v>34</v>
      </c>
      <c r="D307" t="s">
        <v>45</v>
      </c>
      <c r="E307">
        <v>130074</v>
      </c>
      <c r="F307">
        <v>9.84</v>
      </c>
      <c r="G307">
        <v>60</v>
      </c>
      <c r="H307">
        <v>163705</v>
      </c>
      <c r="I307">
        <v>818</v>
      </c>
      <c r="J307" t="s">
        <v>35</v>
      </c>
      <c r="K307">
        <v>20.8</v>
      </c>
      <c r="L307">
        <v>17.7</v>
      </c>
      <c r="M307" t="s">
        <v>55</v>
      </c>
      <c r="N307" s="7">
        <v>44786</v>
      </c>
      <c r="O307" t="str" cm="1">
        <f t="array" ref="O307">_xlfn.IFS(tbl_loans_clean[[#This Row],[Credit_Score]]&lt;650,"580-649",tbl_loans_clean[[#This Row],[Credit_Score]]&lt;700,"650-699",tbl_loans_clean[[#This Row],[Credit_Score]]&lt;750,"700-749",TRUE,"750+")</f>
        <v>750+</v>
      </c>
    </row>
    <row r="308" spans="1:15" x14ac:dyDescent="0.35">
      <c r="A308" t="s">
        <v>273</v>
      </c>
      <c r="B308" t="s">
        <v>15</v>
      </c>
      <c r="C308" t="s">
        <v>22</v>
      </c>
      <c r="D308" t="s">
        <v>45</v>
      </c>
      <c r="E308">
        <v>242199</v>
      </c>
      <c r="F308">
        <v>4.3600000000000003</v>
      </c>
      <c r="G308">
        <v>12</v>
      </c>
      <c r="H308">
        <v>166869</v>
      </c>
      <c r="I308">
        <v>734</v>
      </c>
      <c r="J308" t="s">
        <v>18</v>
      </c>
      <c r="K308">
        <v>4.9000000000000004</v>
      </c>
      <c r="L308">
        <v>16.3</v>
      </c>
      <c r="M308" t="s">
        <v>19</v>
      </c>
      <c r="N308" s="7">
        <v>44788</v>
      </c>
      <c r="O308" t="str" cm="1">
        <f t="array" ref="O308">_xlfn.IFS(tbl_loans_clean[[#This Row],[Credit_Score]]&lt;650,"580-649",tbl_loans_clean[[#This Row],[Credit_Score]]&lt;700,"650-699",tbl_loans_clean[[#This Row],[Credit_Score]]&lt;750,"700-749",TRUE,"750+")</f>
        <v>700-749</v>
      </c>
    </row>
    <row r="309" spans="1:15" x14ac:dyDescent="0.35">
      <c r="A309" t="s">
        <v>622</v>
      </c>
      <c r="B309" t="s">
        <v>15</v>
      </c>
      <c r="C309" t="s">
        <v>22</v>
      </c>
      <c r="D309" t="s">
        <v>17</v>
      </c>
      <c r="E309">
        <v>504797</v>
      </c>
      <c r="F309">
        <v>4.13</v>
      </c>
      <c r="G309">
        <v>24</v>
      </c>
      <c r="H309">
        <v>28066</v>
      </c>
      <c r="I309">
        <v>627</v>
      </c>
      <c r="J309" t="s">
        <v>26</v>
      </c>
      <c r="K309">
        <v>12.8</v>
      </c>
      <c r="L309">
        <v>21</v>
      </c>
      <c r="M309" t="s">
        <v>23</v>
      </c>
      <c r="N309" s="7">
        <v>44788</v>
      </c>
      <c r="O309" t="str" cm="1">
        <f t="array" ref="O309">_xlfn.IFS(tbl_loans_clean[[#This Row],[Credit_Score]]&lt;650,"580-649",tbl_loans_clean[[#This Row],[Credit_Score]]&lt;700,"650-699",tbl_loans_clean[[#This Row],[Credit_Score]]&lt;750,"700-749",TRUE,"750+")</f>
        <v>580-649</v>
      </c>
    </row>
    <row r="310" spans="1:15" x14ac:dyDescent="0.35">
      <c r="A310" t="s">
        <v>564</v>
      </c>
      <c r="B310" t="s">
        <v>21</v>
      </c>
      <c r="C310" t="s">
        <v>34</v>
      </c>
      <c r="D310" t="s">
        <v>52</v>
      </c>
      <c r="E310">
        <v>89703</v>
      </c>
      <c r="F310">
        <v>3.56</v>
      </c>
      <c r="G310">
        <v>48</v>
      </c>
      <c r="H310">
        <v>93756</v>
      </c>
      <c r="I310">
        <v>654</v>
      </c>
      <c r="J310" t="s">
        <v>18</v>
      </c>
      <c r="K310">
        <v>10.7</v>
      </c>
      <c r="L310">
        <v>8.3000000000000007</v>
      </c>
      <c r="M310" t="s">
        <v>19</v>
      </c>
      <c r="N310" s="7">
        <v>44792</v>
      </c>
      <c r="O310" t="str" cm="1">
        <f t="array" ref="O310">_xlfn.IFS(tbl_loans_clean[[#This Row],[Credit_Score]]&lt;650,"580-649",tbl_loans_clean[[#This Row],[Credit_Score]]&lt;700,"650-699",tbl_loans_clean[[#This Row],[Credit_Score]]&lt;750,"700-749",TRUE,"750+")</f>
        <v>650-699</v>
      </c>
    </row>
    <row r="311" spans="1:15" x14ac:dyDescent="0.35">
      <c r="A311" t="s">
        <v>349</v>
      </c>
      <c r="B311" t="s">
        <v>30</v>
      </c>
      <c r="C311" t="s">
        <v>16</v>
      </c>
      <c r="D311" t="s">
        <v>17</v>
      </c>
      <c r="E311">
        <v>561690</v>
      </c>
      <c r="F311">
        <v>9.25</v>
      </c>
      <c r="G311">
        <v>36</v>
      </c>
      <c r="H311">
        <v>104946</v>
      </c>
      <c r="I311">
        <v>771</v>
      </c>
      <c r="J311" t="s">
        <v>18</v>
      </c>
      <c r="K311">
        <v>23.9</v>
      </c>
      <c r="L311">
        <v>43</v>
      </c>
      <c r="M311" t="s">
        <v>19</v>
      </c>
      <c r="N311" s="7">
        <v>44793</v>
      </c>
      <c r="O311" t="str" cm="1">
        <f t="array" ref="O311">_xlfn.IFS(tbl_loans_clean[[#This Row],[Credit_Score]]&lt;650,"580-649",tbl_loans_clean[[#This Row],[Credit_Score]]&lt;700,"650-699",tbl_loans_clean[[#This Row],[Credit_Score]]&lt;750,"700-749",TRUE,"750+")</f>
        <v>750+</v>
      </c>
    </row>
    <row r="312" spans="1:15" x14ac:dyDescent="0.35">
      <c r="A312" t="s">
        <v>477</v>
      </c>
      <c r="B312" t="s">
        <v>28</v>
      </c>
      <c r="C312" t="s">
        <v>22</v>
      </c>
      <c r="D312" t="s">
        <v>17</v>
      </c>
      <c r="E312">
        <v>56374</v>
      </c>
      <c r="F312">
        <v>4.2699999999999996</v>
      </c>
      <c r="G312">
        <v>48</v>
      </c>
      <c r="H312">
        <v>174069</v>
      </c>
      <c r="I312">
        <v>756</v>
      </c>
      <c r="J312" t="s">
        <v>39</v>
      </c>
      <c r="K312">
        <v>8.8000000000000007</v>
      </c>
      <c r="L312">
        <v>46.5</v>
      </c>
      <c r="M312" t="s">
        <v>23</v>
      </c>
      <c r="N312" s="7">
        <v>44794</v>
      </c>
      <c r="O312" t="str" cm="1">
        <f t="array" ref="O312">_xlfn.IFS(tbl_loans_clean[[#This Row],[Credit_Score]]&lt;650,"580-649",tbl_loans_clean[[#This Row],[Credit_Score]]&lt;700,"650-699",tbl_loans_clean[[#This Row],[Credit_Score]]&lt;750,"700-749",TRUE,"750+")</f>
        <v>750+</v>
      </c>
    </row>
    <row r="313" spans="1:15" x14ac:dyDescent="0.35">
      <c r="A313" t="s">
        <v>69</v>
      </c>
      <c r="B313" t="s">
        <v>30</v>
      </c>
      <c r="C313" t="s">
        <v>22</v>
      </c>
      <c r="D313" t="s">
        <v>45</v>
      </c>
      <c r="E313">
        <v>713521</v>
      </c>
      <c r="F313">
        <v>6.48</v>
      </c>
      <c r="G313">
        <v>12</v>
      </c>
      <c r="H313">
        <v>206363</v>
      </c>
      <c r="I313">
        <v>649</v>
      </c>
      <c r="J313" t="s">
        <v>26</v>
      </c>
      <c r="K313">
        <v>5.2</v>
      </c>
      <c r="L313">
        <v>33.9</v>
      </c>
      <c r="M313" t="s">
        <v>23</v>
      </c>
      <c r="N313" s="7">
        <v>44795</v>
      </c>
      <c r="O313" t="str" cm="1">
        <f t="array" ref="O313">_xlfn.IFS(tbl_loans_clean[[#This Row],[Credit_Score]]&lt;650,"580-649",tbl_loans_clean[[#This Row],[Credit_Score]]&lt;700,"650-699",tbl_loans_clean[[#This Row],[Credit_Score]]&lt;750,"700-749",TRUE,"750+")</f>
        <v>580-649</v>
      </c>
    </row>
    <row r="314" spans="1:15" x14ac:dyDescent="0.35">
      <c r="A314" t="s">
        <v>616</v>
      </c>
      <c r="B314" t="s">
        <v>37</v>
      </c>
      <c r="C314" t="s">
        <v>22</v>
      </c>
      <c r="D314" t="s">
        <v>17</v>
      </c>
      <c r="E314">
        <v>419758</v>
      </c>
      <c r="F314">
        <v>5.58</v>
      </c>
      <c r="G314">
        <v>240</v>
      </c>
      <c r="H314">
        <v>194412</v>
      </c>
      <c r="I314">
        <v>794</v>
      </c>
      <c r="J314" t="s">
        <v>39</v>
      </c>
      <c r="K314">
        <v>4.9000000000000004</v>
      </c>
      <c r="L314">
        <v>43.6</v>
      </c>
      <c r="M314" t="s">
        <v>23</v>
      </c>
      <c r="N314" s="7">
        <v>44795</v>
      </c>
      <c r="O314" t="str" cm="1">
        <f t="array" ref="O314">_xlfn.IFS(tbl_loans_clean[[#This Row],[Credit_Score]]&lt;650,"580-649",tbl_loans_clean[[#This Row],[Credit_Score]]&lt;700,"650-699",tbl_loans_clean[[#This Row],[Credit_Score]]&lt;750,"700-749",TRUE,"750+")</f>
        <v>750+</v>
      </c>
    </row>
    <row r="315" spans="1:15" x14ac:dyDescent="0.35">
      <c r="A315" t="s">
        <v>426</v>
      </c>
      <c r="B315" t="s">
        <v>25</v>
      </c>
      <c r="C315" t="s">
        <v>22</v>
      </c>
      <c r="D315" t="s">
        <v>17</v>
      </c>
      <c r="E315">
        <v>314521</v>
      </c>
      <c r="F315">
        <v>5.63</v>
      </c>
      <c r="G315">
        <v>120</v>
      </c>
      <c r="H315">
        <v>94677</v>
      </c>
      <c r="I315">
        <v>815</v>
      </c>
      <c r="J315" t="s">
        <v>39</v>
      </c>
      <c r="K315">
        <v>22.7</v>
      </c>
      <c r="L315">
        <v>16.399999999999999</v>
      </c>
      <c r="M315" t="s">
        <v>19</v>
      </c>
      <c r="N315" s="7">
        <v>44797</v>
      </c>
      <c r="O315" t="str" cm="1">
        <f t="array" ref="O315">_xlfn.IFS(tbl_loans_clean[[#This Row],[Credit_Score]]&lt;650,"580-649",tbl_loans_clean[[#This Row],[Credit_Score]]&lt;700,"650-699",tbl_loans_clean[[#This Row],[Credit_Score]]&lt;750,"700-749",TRUE,"750+")</f>
        <v>750+</v>
      </c>
    </row>
    <row r="316" spans="1:15" x14ac:dyDescent="0.35">
      <c r="A316" t="s">
        <v>490</v>
      </c>
      <c r="B316" t="s">
        <v>15</v>
      </c>
      <c r="C316" t="s">
        <v>34</v>
      </c>
      <c r="D316" t="s">
        <v>32</v>
      </c>
      <c r="E316">
        <v>404371</v>
      </c>
      <c r="F316">
        <v>12.06</v>
      </c>
      <c r="G316">
        <v>120</v>
      </c>
      <c r="H316">
        <v>146248</v>
      </c>
      <c r="I316">
        <v>787</v>
      </c>
      <c r="J316" t="s">
        <v>26</v>
      </c>
      <c r="K316">
        <v>14.3</v>
      </c>
      <c r="L316">
        <v>29.7</v>
      </c>
      <c r="M316" t="s">
        <v>19</v>
      </c>
      <c r="N316" s="7">
        <v>44797</v>
      </c>
      <c r="O316" t="str" cm="1">
        <f t="array" ref="O316">_xlfn.IFS(tbl_loans_clean[[#This Row],[Credit_Score]]&lt;650,"580-649",tbl_loans_clean[[#This Row],[Credit_Score]]&lt;700,"650-699",tbl_loans_clean[[#This Row],[Credit_Score]]&lt;750,"700-749",TRUE,"750+")</f>
        <v>750+</v>
      </c>
    </row>
    <row r="317" spans="1:15" x14ac:dyDescent="0.35">
      <c r="A317" t="s">
        <v>152</v>
      </c>
      <c r="B317" t="s">
        <v>30</v>
      </c>
      <c r="C317" t="s">
        <v>22</v>
      </c>
      <c r="D317" t="s">
        <v>17</v>
      </c>
      <c r="E317">
        <v>575387</v>
      </c>
      <c r="F317">
        <v>4.4000000000000004</v>
      </c>
      <c r="G317">
        <v>120</v>
      </c>
      <c r="H317">
        <v>186124</v>
      </c>
      <c r="I317">
        <v>589</v>
      </c>
      <c r="J317" t="s">
        <v>18</v>
      </c>
      <c r="K317">
        <v>11.7</v>
      </c>
      <c r="L317">
        <v>36</v>
      </c>
      <c r="M317" t="s">
        <v>23</v>
      </c>
      <c r="N317" s="7">
        <v>44799</v>
      </c>
      <c r="O317" t="str" cm="1">
        <f t="array" ref="O317">_xlfn.IFS(tbl_loans_clean[[#This Row],[Credit_Score]]&lt;650,"580-649",tbl_loans_clean[[#This Row],[Credit_Score]]&lt;700,"650-699",tbl_loans_clean[[#This Row],[Credit_Score]]&lt;750,"700-749",TRUE,"750+")</f>
        <v>580-649</v>
      </c>
    </row>
    <row r="318" spans="1:15" x14ac:dyDescent="0.35">
      <c r="A318" t="s">
        <v>368</v>
      </c>
      <c r="B318" t="s">
        <v>15</v>
      </c>
      <c r="C318" t="s">
        <v>22</v>
      </c>
      <c r="D318" t="s">
        <v>45</v>
      </c>
      <c r="E318">
        <v>49760</v>
      </c>
      <c r="F318">
        <v>7.6</v>
      </c>
      <c r="G318">
        <v>12</v>
      </c>
      <c r="H318">
        <v>34470</v>
      </c>
      <c r="I318">
        <v>722</v>
      </c>
      <c r="J318" t="s">
        <v>26</v>
      </c>
      <c r="K318">
        <v>9.3000000000000007</v>
      </c>
      <c r="L318">
        <v>31.6</v>
      </c>
      <c r="M318" t="s">
        <v>23</v>
      </c>
      <c r="N318" s="7">
        <v>44803</v>
      </c>
      <c r="O318" t="str" cm="1">
        <f t="array" ref="O318">_xlfn.IFS(tbl_loans_clean[[#This Row],[Credit_Score]]&lt;650,"580-649",tbl_loans_clean[[#This Row],[Credit_Score]]&lt;700,"650-699",tbl_loans_clean[[#This Row],[Credit_Score]]&lt;750,"700-749",TRUE,"750+")</f>
        <v>700-749</v>
      </c>
    </row>
    <row r="319" spans="1:15" x14ac:dyDescent="0.35">
      <c r="A319" t="s">
        <v>388</v>
      </c>
      <c r="B319" t="s">
        <v>28</v>
      </c>
      <c r="C319" t="s">
        <v>16</v>
      </c>
      <c r="D319" t="s">
        <v>32</v>
      </c>
      <c r="E319">
        <v>158077</v>
      </c>
      <c r="F319">
        <v>11.21</v>
      </c>
      <c r="G319">
        <v>300</v>
      </c>
      <c r="H319">
        <v>130166</v>
      </c>
      <c r="I319">
        <v>613</v>
      </c>
      <c r="J319" t="s">
        <v>35</v>
      </c>
      <c r="K319">
        <v>23</v>
      </c>
      <c r="L319">
        <v>35.4</v>
      </c>
      <c r="M319" t="s">
        <v>19</v>
      </c>
      <c r="N319" s="7">
        <v>44803</v>
      </c>
      <c r="O319" t="str" cm="1">
        <f t="array" ref="O319">_xlfn.IFS(tbl_loans_clean[[#This Row],[Credit_Score]]&lt;650,"580-649",tbl_loans_clean[[#This Row],[Credit_Score]]&lt;700,"650-699",tbl_loans_clean[[#This Row],[Credit_Score]]&lt;750,"700-749",TRUE,"750+")</f>
        <v>580-649</v>
      </c>
    </row>
    <row r="320" spans="1:15" x14ac:dyDescent="0.35">
      <c r="A320" t="s">
        <v>746</v>
      </c>
      <c r="B320" t="s">
        <v>30</v>
      </c>
      <c r="C320" t="s">
        <v>22</v>
      </c>
      <c r="D320" t="s">
        <v>73</v>
      </c>
      <c r="E320">
        <v>142686</v>
      </c>
      <c r="F320">
        <v>5.88</v>
      </c>
      <c r="G320">
        <v>300</v>
      </c>
      <c r="H320">
        <v>28463</v>
      </c>
      <c r="I320">
        <v>775</v>
      </c>
      <c r="J320" t="s">
        <v>26</v>
      </c>
      <c r="K320">
        <v>13.5</v>
      </c>
      <c r="L320">
        <v>18.5</v>
      </c>
      <c r="M320" t="s">
        <v>23</v>
      </c>
      <c r="N320" s="7">
        <v>44803</v>
      </c>
      <c r="O320" t="str" cm="1">
        <f t="array" ref="O320">_xlfn.IFS(tbl_loans_clean[[#This Row],[Credit_Score]]&lt;650,"580-649",tbl_loans_clean[[#This Row],[Credit_Score]]&lt;700,"650-699",tbl_loans_clean[[#This Row],[Credit_Score]]&lt;750,"700-749",TRUE,"750+")</f>
        <v>750+</v>
      </c>
    </row>
    <row r="321" spans="1:15" x14ac:dyDescent="0.35">
      <c r="A321" t="s">
        <v>648</v>
      </c>
      <c r="B321" t="s">
        <v>30</v>
      </c>
      <c r="C321" t="s">
        <v>34</v>
      </c>
      <c r="D321" t="s">
        <v>17</v>
      </c>
      <c r="E321">
        <v>417918</v>
      </c>
      <c r="F321">
        <v>12.69</v>
      </c>
      <c r="G321">
        <v>60</v>
      </c>
      <c r="H321">
        <v>203309</v>
      </c>
      <c r="I321">
        <v>624</v>
      </c>
      <c r="J321" t="s">
        <v>39</v>
      </c>
      <c r="K321">
        <v>22.7</v>
      </c>
      <c r="L321">
        <v>27.1</v>
      </c>
      <c r="M321" t="s">
        <v>48</v>
      </c>
      <c r="N321" s="7">
        <v>44804</v>
      </c>
      <c r="O321" t="str" cm="1">
        <f t="array" ref="O321">_xlfn.IFS(tbl_loans_clean[[#This Row],[Credit_Score]]&lt;650,"580-649",tbl_loans_clean[[#This Row],[Credit_Score]]&lt;700,"650-699",tbl_loans_clean[[#This Row],[Credit_Score]]&lt;750,"700-749",TRUE,"750+")</f>
        <v>580-649</v>
      </c>
    </row>
    <row r="322" spans="1:15" x14ac:dyDescent="0.35">
      <c r="A322" t="s">
        <v>505</v>
      </c>
      <c r="B322" t="s">
        <v>15</v>
      </c>
      <c r="C322" t="s">
        <v>22</v>
      </c>
      <c r="D322" t="s">
        <v>32</v>
      </c>
      <c r="E322">
        <v>245853</v>
      </c>
      <c r="F322">
        <v>9.83</v>
      </c>
      <c r="G322">
        <v>240</v>
      </c>
      <c r="H322">
        <v>146222</v>
      </c>
      <c r="I322">
        <v>655</v>
      </c>
      <c r="J322" t="s">
        <v>18</v>
      </c>
      <c r="K322">
        <v>10.4</v>
      </c>
      <c r="L322">
        <v>40.799999999999997</v>
      </c>
      <c r="M322" t="s">
        <v>23</v>
      </c>
      <c r="N322" s="7">
        <v>44808</v>
      </c>
      <c r="O322" t="str" cm="1">
        <f t="array" ref="O322">_xlfn.IFS(tbl_loans_clean[[#This Row],[Credit_Score]]&lt;650,"580-649",tbl_loans_clean[[#This Row],[Credit_Score]]&lt;700,"650-699",tbl_loans_clean[[#This Row],[Credit_Score]]&lt;750,"700-749",TRUE,"750+")</f>
        <v>650-699</v>
      </c>
    </row>
    <row r="323" spans="1:15" x14ac:dyDescent="0.35">
      <c r="A323" t="s">
        <v>260</v>
      </c>
      <c r="B323" t="s">
        <v>25</v>
      </c>
      <c r="C323" t="s">
        <v>22</v>
      </c>
      <c r="D323" t="s">
        <v>32</v>
      </c>
      <c r="E323">
        <v>15207</v>
      </c>
      <c r="F323">
        <v>9.25</v>
      </c>
      <c r="G323">
        <v>24</v>
      </c>
      <c r="H323">
        <v>114597</v>
      </c>
      <c r="I323">
        <v>661</v>
      </c>
      <c r="J323" t="s">
        <v>18</v>
      </c>
      <c r="K323">
        <v>20.6</v>
      </c>
      <c r="L323">
        <v>46.6</v>
      </c>
      <c r="M323" t="s">
        <v>23</v>
      </c>
      <c r="N323" s="7">
        <v>44811</v>
      </c>
      <c r="O323" t="str" cm="1">
        <f t="array" ref="O323">_xlfn.IFS(tbl_loans_clean[[#This Row],[Credit_Score]]&lt;650,"580-649",tbl_loans_clean[[#This Row],[Credit_Score]]&lt;700,"650-699",tbl_loans_clean[[#This Row],[Credit_Score]]&lt;750,"700-749",TRUE,"750+")</f>
        <v>650-699</v>
      </c>
    </row>
    <row r="324" spans="1:15" x14ac:dyDescent="0.35">
      <c r="A324" t="s">
        <v>695</v>
      </c>
      <c r="B324" t="s">
        <v>25</v>
      </c>
      <c r="C324" t="s">
        <v>16</v>
      </c>
      <c r="D324" t="s">
        <v>43</v>
      </c>
      <c r="E324">
        <v>54812</v>
      </c>
      <c r="F324">
        <v>5.18</v>
      </c>
      <c r="G324">
        <v>12</v>
      </c>
      <c r="H324">
        <v>48711</v>
      </c>
      <c r="I324">
        <v>671</v>
      </c>
      <c r="J324" t="s">
        <v>18</v>
      </c>
      <c r="K324">
        <v>1.3</v>
      </c>
      <c r="L324">
        <v>9.1999999999999993</v>
      </c>
      <c r="M324" t="s">
        <v>19</v>
      </c>
      <c r="N324" s="7">
        <v>44811</v>
      </c>
      <c r="O324" t="str" cm="1">
        <f t="array" ref="O324">_xlfn.IFS(tbl_loans_clean[[#This Row],[Credit_Score]]&lt;650,"580-649",tbl_loans_clean[[#This Row],[Credit_Score]]&lt;700,"650-699",tbl_loans_clean[[#This Row],[Credit_Score]]&lt;750,"700-749",TRUE,"750+")</f>
        <v>650-699</v>
      </c>
    </row>
    <row r="325" spans="1:15" x14ac:dyDescent="0.35">
      <c r="A325" t="s">
        <v>238</v>
      </c>
      <c r="B325" t="s">
        <v>83</v>
      </c>
      <c r="C325" t="s">
        <v>22</v>
      </c>
      <c r="D325" t="s">
        <v>17</v>
      </c>
      <c r="E325">
        <v>646211</v>
      </c>
      <c r="F325">
        <v>8.8800000000000008</v>
      </c>
      <c r="G325">
        <v>36</v>
      </c>
      <c r="H325">
        <v>92550</v>
      </c>
      <c r="I325">
        <v>696</v>
      </c>
      <c r="J325" t="s">
        <v>18</v>
      </c>
      <c r="K325">
        <v>13.8</v>
      </c>
      <c r="L325">
        <v>40.5</v>
      </c>
      <c r="M325" t="s">
        <v>23</v>
      </c>
      <c r="N325" s="7">
        <v>44814</v>
      </c>
      <c r="O325" t="str" cm="1">
        <f t="array" ref="O325">_xlfn.IFS(tbl_loans_clean[[#This Row],[Credit_Score]]&lt;650,"580-649",tbl_loans_clean[[#This Row],[Credit_Score]]&lt;700,"650-699",tbl_loans_clean[[#This Row],[Credit_Score]]&lt;750,"700-749",TRUE,"750+")</f>
        <v>650-699</v>
      </c>
    </row>
    <row r="326" spans="1:15" x14ac:dyDescent="0.35">
      <c r="A326" t="s">
        <v>380</v>
      </c>
      <c r="B326" t="s">
        <v>15</v>
      </c>
      <c r="C326" t="s">
        <v>22</v>
      </c>
      <c r="D326" t="s">
        <v>32</v>
      </c>
      <c r="E326">
        <v>731728</v>
      </c>
      <c r="F326">
        <v>5.69</v>
      </c>
      <c r="G326">
        <v>300</v>
      </c>
      <c r="H326">
        <v>195896</v>
      </c>
      <c r="I326">
        <v>614</v>
      </c>
      <c r="J326" t="s">
        <v>18</v>
      </c>
      <c r="K326">
        <v>11.3</v>
      </c>
      <c r="L326">
        <v>34</v>
      </c>
      <c r="M326" t="s">
        <v>55</v>
      </c>
      <c r="N326" s="7">
        <v>44816</v>
      </c>
      <c r="O326" t="str" cm="1">
        <f t="array" ref="O326">_xlfn.IFS(tbl_loans_clean[[#This Row],[Credit_Score]]&lt;650,"580-649",tbl_loans_clean[[#This Row],[Credit_Score]]&lt;700,"650-699",tbl_loans_clean[[#This Row],[Credit_Score]]&lt;750,"700-749",TRUE,"750+")</f>
        <v>580-649</v>
      </c>
    </row>
    <row r="327" spans="1:15" x14ac:dyDescent="0.35">
      <c r="A327" t="s">
        <v>628</v>
      </c>
      <c r="B327" t="s">
        <v>30</v>
      </c>
      <c r="C327" t="s">
        <v>16</v>
      </c>
      <c r="D327" t="s">
        <v>43</v>
      </c>
      <c r="E327">
        <v>729479</v>
      </c>
      <c r="F327">
        <v>9.76</v>
      </c>
      <c r="G327">
        <v>48</v>
      </c>
      <c r="H327">
        <v>66498</v>
      </c>
      <c r="I327">
        <v>764</v>
      </c>
      <c r="J327" t="s">
        <v>18</v>
      </c>
      <c r="K327">
        <v>4</v>
      </c>
      <c r="L327">
        <v>10.3</v>
      </c>
      <c r="M327" t="s">
        <v>19</v>
      </c>
      <c r="N327" s="7">
        <v>44816</v>
      </c>
      <c r="O327" t="str" cm="1">
        <f t="array" ref="O327">_xlfn.IFS(tbl_loans_clean[[#This Row],[Credit_Score]]&lt;650,"580-649",tbl_loans_clean[[#This Row],[Credit_Score]]&lt;700,"650-699",tbl_loans_clean[[#This Row],[Credit_Score]]&lt;750,"700-749",TRUE,"750+")</f>
        <v>750+</v>
      </c>
    </row>
    <row r="328" spans="1:15" x14ac:dyDescent="0.35">
      <c r="A328" t="s">
        <v>529</v>
      </c>
      <c r="B328" t="s">
        <v>30</v>
      </c>
      <c r="C328" t="s">
        <v>22</v>
      </c>
      <c r="D328" t="s">
        <v>45</v>
      </c>
      <c r="E328">
        <v>182241</v>
      </c>
      <c r="F328">
        <v>7.42</v>
      </c>
      <c r="G328">
        <v>120</v>
      </c>
      <c r="H328">
        <v>206276</v>
      </c>
      <c r="I328">
        <v>722</v>
      </c>
      <c r="J328" t="s">
        <v>18</v>
      </c>
      <c r="K328">
        <v>23.5</v>
      </c>
      <c r="L328">
        <v>23.7</v>
      </c>
      <c r="M328" t="s">
        <v>19</v>
      </c>
      <c r="N328" s="7">
        <v>44817</v>
      </c>
      <c r="O328" t="str" cm="1">
        <f t="array" ref="O328">_xlfn.IFS(tbl_loans_clean[[#This Row],[Credit_Score]]&lt;650,"580-649",tbl_loans_clean[[#This Row],[Credit_Score]]&lt;700,"650-699",tbl_loans_clean[[#This Row],[Credit_Score]]&lt;750,"700-749",TRUE,"750+")</f>
        <v>700-749</v>
      </c>
    </row>
    <row r="329" spans="1:15" x14ac:dyDescent="0.35">
      <c r="A329" t="s">
        <v>689</v>
      </c>
      <c r="B329" t="s">
        <v>28</v>
      </c>
      <c r="C329" t="s">
        <v>34</v>
      </c>
      <c r="D329" t="s">
        <v>43</v>
      </c>
      <c r="E329">
        <v>89700</v>
      </c>
      <c r="F329">
        <v>12.21</v>
      </c>
      <c r="G329">
        <v>36</v>
      </c>
      <c r="H329">
        <v>148419</v>
      </c>
      <c r="I329">
        <v>845</v>
      </c>
      <c r="J329" t="s">
        <v>39</v>
      </c>
      <c r="K329">
        <v>10.5</v>
      </c>
      <c r="L329">
        <v>19.100000000000001</v>
      </c>
      <c r="M329" t="s">
        <v>23</v>
      </c>
      <c r="N329" s="7">
        <v>44817</v>
      </c>
      <c r="O329" t="str" cm="1">
        <f t="array" ref="O329">_xlfn.IFS(tbl_loans_clean[[#This Row],[Credit_Score]]&lt;650,"580-649",tbl_loans_clean[[#This Row],[Credit_Score]]&lt;700,"650-699",tbl_loans_clean[[#This Row],[Credit_Score]]&lt;750,"700-749",TRUE,"750+")</f>
        <v>750+</v>
      </c>
    </row>
    <row r="330" spans="1:15" x14ac:dyDescent="0.35">
      <c r="A330" t="s">
        <v>263</v>
      </c>
      <c r="B330" t="s">
        <v>30</v>
      </c>
      <c r="C330" t="s">
        <v>34</v>
      </c>
      <c r="D330" t="s">
        <v>45</v>
      </c>
      <c r="E330">
        <v>482266</v>
      </c>
      <c r="F330">
        <v>12.56</v>
      </c>
      <c r="G330">
        <v>60</v>
      </c>
      <c r="H330">
        <v>145333</v>
      </c>
      <c r="I330">
        <v>593</v>
      </c>
      <c r="J330" t="s">
        <v>39</v>
      </c>
      <c r="K330">
        <v>17.8</v>
      </c>
      <c r="L330">
        <v>25.2</v>
      </c>
      <c r="M330" t="s">
        <v>55</v>
      </c>
      <c r="N330" s="7">
        <v>44818</v>
      </c>
      <c r="O330" t="str" cm="1">
        <f t="array" ref="O330">_xlfn.IFS(tbl_loans_clean[[#This Row],[Credit_Score]]&lt;650,"580-649",tbl_loans_clean[[#This Row],[Credit_Score]]&lt;700,"650-699",tbl_loans_clean[[#This Row],[Credit_Score]]&lt;750,"700-749",TRUE,"750+")</f>
        <v>580-649</v>
      </c>
    </row>
    <row r="331" spans="1:15" x14ac:dyDescent="0.35">
      <c r="A331" t="s">
        <v>165</v>
      </c>
      <c r="B331" t="s">
        <v>30</v>
      </c>
      <c r="C331" t="s">
        <v>22</v>
      </c>
      <c r="D331" t="s">
        <v>45</v>
      </c>
      <c r="E331">
        <v>602093</v>
      </c>
      <c r="F331">
        <v>8.2899999999999991</v>
      </c>
      <c r="G331">
        <v>120</v>
      </c>
      <c r="H331">
        <v>64386</v>
      </c>
      <c r="I331">
        <v>623</v>
      </c>
      <c r="J331" t="s">
        <v>26</v>
      </c>
      <c r="K331">
        <v>18.5</v>
      </c>
      <c r="L331">
        <v>47.7</v>
      </c>
      <c r="M331" t="s">
        <v>48</v>
      </c>
      <c r="N331" s="7">
        <v>44819</v>
      </c>
      <c r="O331" t="str" cm="1">
        <f t="array" ref="O331">_xlfn.IFS(tbl_loans_clean[[#This Row],[Credit_Score]]&lt;650,"580-649",tbl_loans_clean[[#This Row],[Credit_Score]]&lt;700,"650-699",tbl_loans_clean[[#This Row],[Credit_Score]]&lt;750,"700-749",TRUE,"750+")</f>
        <v>580-649</v>
      </c>
    </row>
    <row r="332" spans="1:15" x14ac:dyDescent="0.35">
      <c r="A332" t="s">
        <v>671</v>
      </c>
      <c r="B332" t="s">
        <v>30</v>
      </c>
      <c r="C332" t="s">
        <v>34</v>
      </c>
      <c r="D332" t="s">
        <v>17</v>
      </c>
      <c r="E332">
        <v>593099</v>
      </c>
      <c r="F332">
        <v>10.49</v>
      </c>
      <c r="G332">
        <v>24</v>
      </c>
      <c r="H332">
        <v>174259</v>
      </c>
      <c r="I332">
        <v>792</v>
      </c>
      <c r="J332" t="s">
        <v>35</v>
      </c>
      <c r="K332">
        <v>5.0999999999999996</v>
      </c>
      <c r="L332">
        <v>29.2</v>
      </c>
      <c r="M332" t="s">
        <v>23</v>
      </c>
      <c r="N332" s="7">
        <v>44819</v>
      </c>
      <c r="O332" t="str" cm="1">
        <f t="array" ref="O332">_xlfn.IFS(tbl_loans_clean[[#This Row],[Credit_Score]]&lt;650,"580-649",tbl_loans_clean[[#This Row],[Credit_Score]]&lt;700,"650-699",tbl_loans_clean[[#This Row],[Credit_Score]]&lt;750,"700-749",TRUE,"750+")</f>
        <v>750+</v>
      </c>
    </row>
    <row r="333" spans="1:15" x14ac:dyDescent="0.35">
      <c r="A333" t="s">
        <v>698</v>
      </c>
      <c r="B333" t="s">
        <v>30</v>
      </c>
      <c r="C333" t="s">
        <v>16</v>
      </c>
      <c r="D333" t="s">
        <v>32</v>
      </c>
      <c r="E333">
        <v>262906</v>
      </c>
      <c r="F333">
        <v>5.67</v>
      </c>
      <c r="G333">
        <v>300</v>
      </c>
      <c r="H333">
        <v>64561</v>
      </c>
      <c r="I333">
        <v>817</v>
      </c>
      <c r="J333" t="s">
        <v>18</v>
      </c>
      <c r="K333">
        <v>21.3</v>
      </c>
      <c r="L333">
        <v>29.5</v>
      </c>
      <c r="M333" t="s">
        <v>55</v>
      </c>
      <c r="N333" s="7">
        <v>44820</v>
      </c>
      <c r="O333" t="str" cm="1">
        <f t="array" ref="O333">_xlfn.IFS(tbl_loans_clean[[#This Row],[Credit_Score]]&lt;650,"580-649",tbl_loans_clean[[#This Row],[Credit_Score]]&lt;700,"650-699",tbl_loans_clean[[#This Row],[Credit_Score]]&lt;750,"700-749",TRUE,"750+")</f>
        <v>750+</v>
      </c>
    </row>
    <row r="334" spans="1:15" x14ac:dyDescent="0.35">
      <c r="A334" t="s">
        <v>807</v>
      </c>
      <c r="B334" t="s">
        <v>15</v>
      </c>
      <c r="C334" t="s">
        <v>22</v>
      </c>
      <c r="D334" t="s">
        <v>17</v>
      </c>
      <c r="E334">
        <v>748859</v>
      </c>
      <c r="F334">
        <v>14.14</v>
      </c>
      <c r="G334">
        <v>300</v>
      </c>
      <c r="H334">
        <v>62758</v>
      </c>
      <c r="I334">
        <v>685</v>
      </c>
      <c r="J334" t="s">
        <v>18</v>
      </c>
      <c r="K334">
        <v>2</v>
      </c>
      <c r="L334">
        <v>45.6</v>
      </c>
      <c r="M334" t="s">
        <v>23</v>
      </c>
      <c r="N334" s="7">
        <v>44823</v>
      </c>
      <c r="O334" t="str" cm="1">
        <f t="array" ref="O334">_xlfn.IFS(tbl_loans_clean[[#This Row],[Credit_Score]]&lt;650,"580-649",tbl_loans_clean[[#This Row],[Credit_Score]]&lt;700,"650-699",tbl_loans_clean[[#This Row],[Credit_Score]]&lt;750,"700-749",TRUE,"750+")</f>
        <v>650-699</v>
      </c>
    </row>
    <row r="335" spans="1:15" x14ac:dyDescent="0.35">
      <c r="A335" t="s">
        <v>190</v>
      </c>
      <c r="B335" t="s">
        <v>30</v>
      </c>
      <c r="C335" t="s">
        <v>16</v>
      </c>
      <c r="D335" t="s">
        <v>17</v>
      </c>
      <c r="E335">
        <v>577744</v>
      </c>
      <c r="F335">
        <v>13.12</v>
      </c>
      <c r="G335">
        <v>24</v>
      </c>
      <c r="H335">
        <v>129894</v>
      </c>
      <c r="I335">
        <v>650</v>
      </c>
      <c r="J335" t="s">
        <v>18</v>
      </c>
      <c r="K335">
        <v>22.1</v>
      </c>
      <c r="L335">
        <v>13.4</v>
      </c>
      <c r="M335" t="s">
        <v>19</v>
      </c>
      <c r="N335" s="7">
        <v>44828</v>
      </c>
      <c r="O335" t="str" cm="1">
        <f t="array" ref="O335">_xlfn.IFS(tbl_loans_clean[[#This Row],[Credit_Score]]&lt;650,"580-649",tbl_loans_clean[[#This Row],[Credit_Score]]&lt;700,"650-699",tbl_loans_clean[[#This Row],[Credit_Score]]&lt;750,"700-749",TRUE,"750+")</f>
        <v>650-699</v>
      </c>
    </row>
    <row r="336" spans="1:15" x14ac:dyDescent="0.35">
      <c r="A336" t="s">
        <v>252</v>
      </c>
      <c r="B336" t="s">
        <v>28</v>
      </c>
      <c r="C336" t="s">
        <v>34</v>
      </c>
      <c r="D336" t="s">
        <v>38</v>
      </c>
      <c r="E336">
        <v>537893</v>
      </c>
      <c r="F336">
        <v>13.16</v>
      </c>
      <c r="G336">
        <v>300</v>
      </c>
      <c r="H336">
        <v>132700</v>
      </c>
      <c r="I336">
        <v>728</v>
      </c>
      <c r="J336" t="s">
        <v>18</v>
      </c>
      <c r="K336">
        <v>6.7</v>
      </c>
      <c r="L336">
        <v>8</v>
      </c>
      <c r="M336" t="s">
        <v>23</v>
      </c>
      <c r="N336" s="7">
        <v>44828</v>
      </c>
      <c r="O336" t="str" cm="1">
        <f t="array" ref="O336">_xlfn.IFS(tbl_loans_clean[[#This Row],[Credit_Score]]&lt;650,"580-649",tbl_loans_clean[[#This Row],[Credit_Score]]&lt;700,"650-699",tbl_loans_clean[[#This Row],[Credit_Score]]&lt;750,"700-749",TRUE,"750+")</f>
        <v>700-749</v>
      </c>
    </row>
    <row r="337" spans="1:15" x14ac:dyDescent="0.35">
      <c r="A337" t="s">
        <v>437</v>
      </c>
      <c r="B337" t="s">
        <v>71</v>
      </c>
      <c r="C337" t="s">
        <v>34</v>
      </c>
      <c r="D337" t="s">
        <v>45</v>
      </c>
      <c r="E337">
        <v>169074</v>
      </c>
      <c r="F337">
        <v>6.27</v>
      </c>
      <c r="G337">
        <v>300</v>
      </c>
      <c r="H337">
        <v>97322</v>
      </c>
      <c r="I337">
        <v>724</v>
      </c>
      <c r="J337" t="s">
        <v>26</v>
      </c>
      <c r="K337">
        <v>22.4</v>
      </c>
      <c r="L337">
        <v>18.2</v>
      </c>
      <c r="M337" t="s">
        <v>19</v>
      </c>
      <c r="N337" s="7">
        <v>44834</v>
      </c>
      <c r="O337" t="str" cm="1">
        <f t="array" ref="O337">_xlfn.IFS(tbl_loans_clean[[#This Row],[Credit_Score]]&lt;650,"580-649",tbl_loans_clean[[#This Row],[Credit_Score]]&lt;700,"650-699",tbl_loans_clean[[#This Row],[Credit_Score]]&lt;750,"700-749",TRUE,"750+")</f>
        <v>700-749</v>
      </c>
    </row>
    <row r="338" spans="1:15" x14ac:dyDescent="0.35">
      <c r="A338" t="s">
        <v>663</v>
      </c>
      <c r="B338" t="s">
        <v>30</v>
      </c>
      <c r="C338" t="s">
        <v>16</v>
      </c>
      <c r="D338" t="s">
        <v>32</v>
      </c>
      <c r="E338">
        <v>131310</v>
      </c>
      <c r="F338">
        <v>11.82</v>
      </c>
      <c r="G338">
        <v>48</v>
      </c>
      <c r="H338">
        <v>160201</v>
      </c>
      <c r="I338">
        <v>707</v>
      </c>
      <c r="J338" t="s">
        <v>18</v>
      </c>
      <c r="K338">
        <v>8.5</v>
      </c>
      <c r="L338">
        <v>29.1</v>
      </c>
      <c r="M338" t="s">
        <v>23</v>
      </c>
      <c r="N338" s="7">
        <v>44836</v>
      </c>
      <c r="O338" t="str" cm="1">
        <f t="array" ref="O338">_xlfn.IFS(tbl_loans_clean[[#This Row],[Credit_Score]]&lt;650,"580-649",tbl_loans_clean[[#This Row],[Credit_Score]]&lt;700,"650-699",tbl_loans_clean[[#This Row],[Credit_Score]]&lt;750,"700-749",TRUE,"750+")</f>
        <v>700-749</v>
      </c>
    </row>
    <row r="339" spans="1:15" x14ac:dyDescent="0.35">
      <c r="A339" t="s">
        <v>831</v>
      </c>
      <c r="B339" t="s">
        <v>71</v>
      </c>
      <c r="C339" t="s">
        <v>16</v>
      </c>
      <c r="D339" t="s">
        <v>45</v>
      </c>
      <c r="E339">
        <v>595504</v>
      </c>
      <c r="F339">
        <v>5.35</v>
      </c>
      <c r="G339">
        <v>60</v>
      </c>
      <c r="H339">
        <v>165521</v>
      </c>
      <c r="I339">
        <v>672</v>
      </c>
      <c r="J339" t="s">
        <v>18</v>
      </c>
      <c r="K339">
        <v>9.9</v>
      </c>
      <c r="L339">
        <v>25.6</v>
      </c>
      <c r="M339" t="s">
        <v>23</v>
      </c>
      <c r="N339" s="7">
        <v>44839</v>
      </c>
      <c r="O339" t="str" cm="1">
        <f t="array" ref="O339">_xlfn.IFS(tbl_loans_clean[[#This Row],[Credit_Score]]&lt;650,"580-649",tbl_loans_clean[[#This Row],[Credit_Score]]&lt;700,"650-699",tbl_loans_clean[[#This Row],[Credit_Score]]&lt;750,"700-749",TRUE,"750+")</f>
        <v>650-699</v>
      </c>
    </row>
    <row r="340" spans="1:15" x14ac:dyDescent="0.35">
      <c r="A340" t="s">
        <v>478</v>
      </c>
      <c r="B340" t="s">
        <v>30</v>
      </c>
      <c r="C340" t="s">
        <v>34</v>
      </c>
      <c r="D340" t="s">
        <v>17</v>
      </c>
      <c r="E340">
        <v>119397</v>
      </c>
      <c r="F340">
        <v>14.49</v>
      </c>
      <c r="G340">
        <v>60</v>
      </c>
      <c r="H340">
        <v>132975</v>
      </c>
      <c r="I340">
        <v>718</v>
      </c>
      <c r="J340" t="s">
        <v>26</v>
      </c>
      <c r="K340">
        <v>13.6</v>
      </c>
      <c r="L340">
        <v>32</v>
      </c>
      <c r="M340" t="s">
        <v>23</v>
      </c>
      <c r="N340" s="7">
        <v>44841</v>
      </c>
      <c r="O340" t="str" cm="1">
        <f t="array" ref="O340">_xlfn.IFS(tbl_loans_clean[[#This Row],[Credit_Score]]&lt;650,"580-649",tbl_loans_clean[[#This Row],[Credit_Score]]&lt;700,"650-699",tbl_loans_clean[[#This Row],[Credit_Score]]&lt;750,"700-749",TRUE,"750+")</f>
        <v>700-749</v>
      </c>
    </row>
    <row r="341" spans="1:15" x14ac:dyDescent="0.35">
      <c r="A341" t="s">
        <v>406</v>
      </c>
      <c r="B341" t="s">
        <v>71</v>
      </c>
      <c r="C341" t="s">
        <v>22</v>
      </c>
      <c r="D341" t="s">
        <v>45</v>
      </c>
      <c r="E341">
        <v>31654</v>
      </c>
      <c r="F341">
        <v>10.210000000000001</v>
      </c>
      <c r="G341">
        <v>24</v>
      </c>
      <c r="H341">
        <v>205823</v>
      </c>
      <c r="I341">
        <v>660</v>
      </c>
      <c r="J341" t="s">
        <v>18</v>
      </c>
      <c r="K341">
        <v>5</v>
      </c>
      <c r="L341">
        <v>20.2</v>
      </c>
      <c r="M341" t="s">
        <v>19</v>
      </c>
      <c r="N341" s="7">
        <v>44844</v>
      </c>
      <c r="O341" t="str" cm="1">
        <f t="array" ref="O341">_xlfn.IFS(tbl_loans_clean[[#This Row],[Credit_Score]]&lt;650,"580-649",tbl_loans_clean[[#This Row],[Credit_Score]]&lt;700,"650-699",tbl_loans_clean[[#This Row],[Credit_Score]]&lt;750,"700-749",TRUE,"750+")</f>
        <v>650-699</v>
      </c>
    </row>
    <row r="342" spans="1:15" x14ac:dyDescent="0.35">
      <c r="A342" t="s">
        <v>804</v>
      </c>
      <c r="B342" t="s">
        <v>30</v>
      </c>
      <c r="C342" t="s">
        <v>16</v>
      </c>
      <c r="D342" t="s">
        <v>17</v>
      </c>
      <c r="E342">
        <v>320018</v>
      </c>
      <c r="F342">
        <v>5.04</v>
      </c>
      <c r="G342">
        <v>48</v>
      </c>
      <c r="H342">
        <v>142012</v>
      </c>
      <c r="I342">
        <v>714</v>
      </c>
      <c r="J342" t="s">
        <v>26</v>
      </c>
      <c r="K342">
        <v>12.6</v>
      </c>
      <c r="L342">
        <v>17.2</v>
      </c>
      <c r="M342" t="s">
        <v>23</v>
      </c>
      <c r="N342" s="7">
        <v>44845</v>
      </c>
      <c r="O342" t="str" cm="1">
        <f t="array" ref="O342">_xlfn.IFS(tbl_loans_clean[[#This Row],[Credit_Score]]&lt;650,"580-649",tbl_loans_clean[[#This Row],[Credit_Score]]&lt;700,"650-699",tbl_loans_clean[[#This Row],[Credit_Score]]&lt;750,"700-749",TRUE,"750+")</f>
        <v>700-749</v>
      </c>
    </row>
    <row r="343" spans="1:15" x14ac:dyDescent="0.35">
      <c r="A343" t="s">
        <v>559</v>
      </c>
      <c r="B343" t="s">
        <v>25</v>
      </c>
      <c r="C343" t="s">
        <v>16</v>
      </c>
      <c r="D343" t="s">
        <v>45</v>
      </c>
      <c r="E343">
        <v>498216</v>
      </c>
      <c r="F343">
        <v>13.61</v>
      </c>
      <c r="G343">
        <v>300</v>
      </c>
      <c r="H343">
        <v>155466</v>
      </c>
      <c r="I343">
        <v>805</v>
      </c>
      <c r="J343" t="s">
        <v>26</v>
      </c>
      <c r="K343">
        <v>8.1999999999999993</v>
      </c>
      <c r="L343">
        <v>9.5</v>
      </c>
      <c r="M343" t="s">
        <v>23</v>
      </c>
      <c r="N343" s="7">
        <v>44846</v>
      </c>
      <c r="O343" t="str" cm="1">
        <f t="array" ref="O343">_xlfn.IFS(tbl_loans_clean[[#This Row],[Credit_Score]]&lt;650,"580-649",tbl_loans_clean[[#This Row],[Credit_Score]]&lt;700,"650-699",tbl_loans_clean[[#This Row],[Credit_Score]]&lt;750,"700-749",TRUE,"750+")</f>
        <v>750+</v>
      </c>
    </row>
    <row r="344" spans="1:15" x14ac:dyDescent="0.35">
      <c r="A344" t="s">
        <v>725</v>
      </c>
      <c r="B344" t="s">
        <v>28</v>
      </c>
      <c r="C344" t="s">
        <v>22</v>
      </c>
      <c r="D344" t="s">
        <v>17</v>
      </c>
      <c r="E344">
        <v>419170</v>
      </c>
      <c r="F344">
        <v>14.5</v>
      </c>
      <c r="G344">
        <v>240</v>
      </c>
      <c r="H344">
        <v>165293</v>
      </c>
      <c r="I344">
        <v>697</v>
      </c>
      <c r="J344" t="s">
        <v>18</v>
      </c>
      <c r="K344">
        <v>11.9</v>
      </c>
      <c r="L344">
        <v>33.4</v>
      </c>
      <c r="M344" t="s">
        <v>23</v>
      </c>
      <c r="N344" s="7">
        <v>44846</v>
      </c>
      <c r="O344" t="str" cm="1">
        <f t="array" ref="O344">_xlfn.IFS(tbl_loans_clean[[#This Row],[Credit_Score]]&lt;650,"580-649",tbl_loans_clean[[#This Row],[Credit_Score]]&lt;700,"650-699",tbl_loans_clean[[#This Row],[Credit_Score]]&lt;750,"700-749",TRUE,"750+")</f>
        <v>650-699</v>
      </c>
    </row>
    <row r="345" spans="1:15" x14ac:dyDescent="0.35">
      <c r="A345" t="s">
        <v>435</v>
      </c>
      <c r="B345" t="s">
        <v>25</v>
      </c>
      <c r="C345" t="s">
        <v>16</v>
      </c>
      <c r="D345" t="s">
        <v>17</v>
      </c>
      <c r="E345">
        <v>590236</v>
      </c>
      <c r="F345">
        <v>10.65</v>
      </c>
      <c r="G345">
        <v>36</v>
      </c>
      <c r="H345">
        <v>123345</v>
      </c>
      <c r="I345">
        <v>665</v>
      </c>
      <c r="J345" t="s">
        <v>18</v>
      </c>
      <c r="K345">
        <v>10.3</v>
      </c>
      <c r="L345">
        <v>36.299999999999997</v>
      </c>
      <c r="M345" t="s">
        <v>19</v>
      </c>
      <c r="N345" s="7">
        <v>44850</v>
      </c>
      <c r="O345" t="str" cm="1">
        <f t="array" ref="O345">_xlfn.IFS(tbl_loans_clean[[#This Row],[Credit_Score]]&lt;650,"580-649",tbl_loans_clean[[#This Row],[Credit_Score]]&lt;700,"650-699",tbl_loans_clean[[#This Row],[Credit_Score]]&lt;750,"700-749",TRUE,"750+")</f>
        <v>650-699</v>
      </c>
    </row>
    <row r="346" spans="1:15" x14ac:dyDescent="0.35">
      <c r="A346" t="s">
        <v>610</v>
      </c>
      <c r="B346" t="s">
        <v>83</v>
      </c>
      <c r="C346" t="s">
        <v>22</v>
      </c>
      <c r="D346" t="s">
        <v>45</v>
      </c>
      <c r="E346">
        <v>221204</v>
      </c>
      <c r="F346">
        <v>5.83</v>
      </c>
      <c r="G346">
        <v>60</v>
      </c>
      <c r="H346">
        <v>124502</v>
      </c>
      <c r="I346">
        <v>669</v>
      </c>
      <c r="J346" t="s">
        <v>18</v>
      </c>
      <c r="K346">
        <v>12.1</v>
      </c>
      <c r="L346">
        <v>42.4</v>
      </c>
      <c r="M346" t="s">
        <v>19</v>
      </c>
      <c r="N346" s="7">
        <v>44851</v>
      </c>
      <c r="O346" t="str" cm="1">
        <f t="array" ref="O346">_xlfn.IFS(tbl_loans_clean[[#This Row],[Credit_Score]]&lt;650,"580-649",tbl_loans_clean[[#This Row],[Credit_Score]]&lt;700,"650-699",tbl_loans_clean[[#This Row],[Credit_Score]]&lt;750,"700-749",TRUE,"750+")</f>
        <v>650-699</v>
      </c>
    </row>
    <row r="347" spans="1:15" x14ac:dyDescent="0.35">
      <c r="A347" t="s">
        <v>665</v>
      </c>
      <c r="B347" t="s">
        <v>15</v>
      </c>
      <c r="C347" t="s">
        <v>22</v>
      </c>
      <c r="D347" t="s">
        <v>17</v>
      </c>
      <c r="E347">
        <v>50740</v>
      </c>
      <c r="F347">
        <v>5.42</v>
      </c>
      <c r="G347">
        <v>48</v>
      </c>
      <c r="H347">
        <v>29605</v>
      </c>
      <c r="I347">
        <v>772</v>
      </c>
      <c r="J347" t="s">
        <v>18</v>
      </c>
      <c r="K347">
        <v>10.9</v>
      </c>
      <c r="L347">
        <v>31.1</v>
      </c>
      <c r="M347" t="s">
        <v>19</v>
      </c>
      <c r="N347" s="7">
        <v>44854</v>
      </c>
      <c r="O347" t="str" cm="1">
        <f t="array" ref="O347">_xlfn.IFS(tbl_loans_clean[[#This Row],[Credit_Score]]&lt;650,"580-649",tbl_loans_clean[[#This Row],[Credit_Score]]&lt;700,"650-699",tbl_loans_clean[[#This Row],[Credit_Score]]&lt;750,"700-749",TRUE,"750+")</f>
        <v>750+</v>
      </c>
    </row>
    <row r="348" spans="1:15" x14ac:dyDescent="0.35">
      <c r="A348" t="s">
        <v>329</v>
      </c>
      <c r="B348" t="s">
        <v>15</v>
      </c>
      <c r="C348" t="s">
        <v>22</v>
      </c>
      <c r="D348" t="s">
        <v>17</v>
      </c>
      <c r="E348">
        <v>184838</v>
      </c>
      <c r="F348">
        <v>4.5199999999999996</v>
      </c>
      <c r="G348">
        <v>300</v>
      </c>
      <c r="H348">
        <v>134975</v>
      </c>
      <c r="I348">
        <v>815</v>
      </c>
      <c r="J348" t="s">
        <v>18</v>
      </c>
      <c r="K348">
        <v>15.2</v>
      </c>
      <c r="L348">
        <v>29.3</v>
      </c>
      <c r="M348" t="s">
        <v>23</v>
      </c>
      <c r="N348" s="7">
        <v>44857</v>
      </c>
      <c r="O348" t="str" cm="1">
        <f t="array" ref="O348">_xlfn.IFS(tbl_loans_clean[[#This Row],[Credit_Score]]&lt;650,"580-649",tbl_loans_clean[[#This Row],[Credit_Score]]&lt;700,"650-699",tbl_loans_clean[[#This Row],[Credit_Score]]&lt;750,"700-749",TRUE,"750+")</f>
        <v>750+</v>
      </c>
    </row>
    <row r="349" spans="1:15" x14ac:dyDescent="0.35">
      <c r="A349" t="s">
        <v>203</v>
      </c>
      <c r="B349" t="s">
        <v>28</v>
      </c>
      <c r="C349" t="s">
        <v>22</v>
      </c>
      <c r="D349" t="s">
        <v>17</v>
      </c>
      <c r="E349">
        <v>186948</v>
      </c>
      <c r="F349">
        <v>13.95</v>
      </c>
      <c r="G349">
        <v>12</v>
      </c>
      <c r="H349">
        <v>73875</v>
      </c>
      <c r="I349">
        <v>589</v>
      </c>
      <c r="J349" t="s">
        <v>18</v>
      </c>
      <c r="K349">
        <v>5</v>
      </c>
      <c r="L349">
        <v>13.9</v>
      </c>
      <c r="M349" t="s">
        <v>19</v>
      </c>
      <c r="N349" s="7">
        <v>44858</v>
      </c>
      <c r="O349" t="str" cm="1">
        <f t="array" ref="O349">_xlfn.IFS(tbl_loans_clean[[#This Row],[Credit_Score]]&lt;650,"580-649",tbl_loans_clean[[#This Row],[Credit_Score]]&lt;700,"650-699",tbl_loans_clean[[#This Row],[Credit_Score]]&lt;750,"700-749",TRUE,"750+")</f>
        <v>580-649</v>
      </c>
    </row>
    <row r="350" spans="1:15" x14ac:dyDescent="0.35">
      <c r="A350" t="s">
        <v>587</v>
      </c>
      <c r="B350" t="s">
        <v>30</v>
      </c>
      <c r="C350" t="s">
        <v>22</v>
      </c>
      <c r="D350" t="s">
        <v>43</v>
      </c>
      <c r="E350">
        <v>280011</v>
      </c>
      <c r="F350">
        <v>3.96</v>
      </c>
      <c r="G350">
        <v>36</v>
      </c>
      <c r="H350">
        <v>94537</v>
      </c>
      <c r="I350">
        <v>588</v>
      </c>
      <c r="J350" t="s">
        <v>26</v>
      </c>
      <c r="K350">
        <v>7.8</v>
      </c>
      <c r="L350">
        <v>8.5</v>
      </c>
      <c r="M350" t="s">
        <v>23</v>
      </c>
      <c r="N350" s="7">
        <v>44858</v>
      </c>
      <c r="O350" t="str" cm="1">
        <f t="array" ref="O350">_xlfn.IFS(tbl_loans_clean[[#This Row],[Credit_Score]]&lt;650,"580-649",tbl_loans_clean[[#This Row],[Credit_Score]]&lt;700,"650-699",tbl_loans_clean[[#This Row],[Credit_Score]]&lt;750,"700-749",TRUE,"750+")</f>
        <v>580-649</v>
      </c>
    </row>
    <row r="351" spans="1:15" x14ac:dyDescent="0.35">
      <c r="A351" t="s">
        <v>638</v>
      </c>
      <c r="B351" t="s">
        <v>28</v>
      </c>
      <c r="C351" t="s">
        <v>22</v>
      </c>
      <c r="D351" t="s">
        <v>32</v>
      </c>
      <c r="E351">
        <v>441679</v>
      </c>
      <c r="F351">
        <v>3.84</v>
      </c>
      <c r="G351">
        <v>300</v>
      </c>
      <c r="H351">
        <v>52648</v>
      </c>
      <c r="I351">
        <v>765</v>
      </c>
      <c r="J351" t="s">
        <v>26</v>
      </c>
      <c r="K351">
        <v>15</v>
      </c>
      <c r="L351">
        <v>20.8</v>
      </c>
      <c r="M351" t="s">
        <v>23</v>
      </c>
      <c r="N351" s="7">
        <v>44860</v>
      </c>
      <c r="O351" t="str" cm="1">
        <f t="array" ref="O351">_xlfn.IFS(tbl_loans_clean[[#This Row],[Credit_Score]]&lt;650,"580-649",tbl_loans_clean[[#This Row],[Credit_Score]]&lt;700,"650-699",tbl_loans_clean[[#This Row],[Credit_Score]]&lt;750,"700-749",TRUE,"750+")</f>
        <v>750+</v>
      </c>
    </row>
    <row r="352" spans="1:15" x14ac:dyDescent="0.35">
      <c r="A352" t="s">
        <v>669</v>
      </c>
      <c r="B352" t="s">
        <v>25</v>
      </c>
      <c r="C352" t="s">
        <v>34</v>
      </c>
      <c r="D352" t="s">
        <v>45</v>
      </c>
      <c r="E352">
        <v>480828</v>
      </c>
      <c r="F352">
        <v>9.75</v>
      </c>
      <c r="G352">
        <v>24</v>
      </c>
      <c r="H352">
        <v>191402</v>
      </c>
      <c r="I352">
        <v>664</v>
      </c>
      <c r="J352" t="s">
        <v>18</v>
      </c>
      <c r="K352">
        <v>6.6</v>
      </c>
      <c r="L352">
        <v>10.1</v>
      </c>
      <c r="M352" t="s">
        <v>48</v>
      </c>
      <c r="N352" s="7">
        <v>44860</v>
      </c>
      <c r="O352" t="str" cm="1">
        <f t="array" ref="O352">_xlfn.IFS(tbl_loans_clean[[#This Row],[Credit_Score]]&lt;650,"580-649",tbl_loans_clean[[#This Row],[Credit_Score]]&lt;700,"650-699",tbl_loans_clean[[#This Row],[Credit_Score]]&lt;750,"700-749",TRUE,"750+")</f>
        <v>650-699</v>
      </c>
    </row>
    <row r="353" spans="1:15" x14ac:dyDescent="0.35">
      <c r="A353" t="s">
        <v>684</v>
      </c>
      <c r="B353" t="s">
        <v>30</v>
      </c>
      <c r="C353" t="s">
        <v>16</v>
      </c>
      <c r="D353" t="s">
        <v>45</v>
      </c>
      <c r="E353">
        <v>747800</v>
      </c>
      <c r="F353">
        <v>13.68</v>
      </c>
      <c r="G353">
        <v>120</v>
      </c>
      <c r="H353">
        <v>29515</v>
      </c>
      <c r="I353">
        <v>720</v>
      </c>
      <c r="J353" t="s">
        <v>18</v>
      </c>
      <c r="K353">
        <v>12.3</v>
      </c>
      <c r="L353">
        <v>45.4</v>
      </c>
      <c r="M353" t="s">
        <v>23</v>
      </c>
      <c r="N353" s="7">
        <v>44860</v>
      </c>
      <c r="O353" t="str" cm="1">
        <f t="array" ref="O353">_xlfn.IFS(tbl_loans_clean[[#This Row],[Credit_Score]]&lt;650,"580-649",tbl_loans_clean[[#This Row],[Credit_Score]]&lt;700,"650-699",tbl_loans_clean[[#This Row],[Credit_Score]]&lt;750,"700-749",TRUE,"750+")</f>
        <v>700-749</v>
      </c>
    </row>
    <row r="354" spans="1:15" x14ac:dyDescent="0.35">
      <c r="A354" t="s">
        <v>800</v>
      </c>
      <c r="B354" t="s">
        <v>83</v>
      </c>
      <c r="C354" t="s">
        <v>34</v>
      </c>
      <c r="D354" t="s">
        <v>32</v>
      </c>
      <c r="E354">
        <v>495238</v>
      </c>
      <c r="F354">
        <v>7.41</v>
      </c>
      <c r="G354">
        <v>24</v>
      </c>
      <c r="H354">
        <v>130478</v>
      </c>
      <c r="I354">
        <v>647</v>
      </c>
      <c r="J354" t="s">
        <v>18</v>
      </c>
      <c r="K354">
        <v>6.3</v>
      </c>
      <c r="L354">
        <v>16.899999999999999</v>
      </c>
      <c r="M354" t="s">
        <v>23</v>
      </c>
      <c r="N354" s="7">
        <v>44862</v>
      </c>
      <c r="O354" t="str" cm="1">
        <f t="array" ref="O354">_xlfn.IFS(tbl_loans_clean[[#This Row],[Credit_Score]]&lt;650,"580-649",tbl_loans_clean[[#This Row],[Credit_Score]]&lt;700,"650-699",tbl_loans_clean[[#This Row],[Credit_Score]]&lt;750,"700-749",TRUE,"750+")</f>
        <v>580-649</v>
      </c>
    </row>
    <row r="355" spans="1:15" x14ac:dyDescent="0.35">
      <c r="A355" t="s">
        <v>67</v>
      </c>
      <c r="B355" t="s">
        <v>28</v>
      </c>
      <c r="C355" t="s">
        <v>22</v>
      </c>
      <c r="D355" t="s">
        <v>38</v>
      </c>
      <c r="E355">
        <v>120598</v>
      </c>
      <c r="F355">
        <v>4.9800000000000004</v>
      </c>
      <c r="G355">
        <v>12</v>
      </c>
      <c r="H355">
        <v>162066</v>
      </c>
      <c r="I355">
        <v>807</v>
      </c>
      <c r="J355" t="s">
        <v>18</v>
      </c>
      <c r="K355">
        <v>19.100000000000001</v>
      </c>
      <c r="L355">
        <v>25.3</v>
      </c>
      <c r="M355" t="s">
        <v>19</v>
      </c>
      <c r="N355" s="7">
        <v>44864</v>
      </c>
      <c r="O355" t="str" cm="1">
        <f t="array" ref="O355">_xlfn.IFS(tbl_loans_clean[[#This Row],[Credit_Score]]&lt;650,"580-649",tbl_loans_clean[[#This Row],[Credit_Score]]&lt;700,"650-699",tbl_loans_clean[[#This Row],[Credit_Score]]&lt;750,"700-749",TRUE,"750+")</f>
        <v>750+</v>
      </c>
    </row>
    <row r="356" spans="1:15" x14ac:dyDescent="0.35">
      <c r="A356" t="s">
        <v>397</v>
      </c>
      <c r="B356" t="s">
        <v>28</v>
      </c>
      <c r="C356" t="s">
        <v>16</v>
      </c>
      <c r="D356" t="s">
        <v>73</v>
      </c>
      <c r="E356">
        <v>635527</v>
      </c>
      <c r="F356">
        <v>3.95</v>
      </c>
      <c r="G356">
        <v>120</v>
      </c>
      <c r="H356">
        <v>78971</v>
      </c>
      <c r="I356">
        <v>685</v>
      </c>
      <c r="J356" t="s">
        <v>35</v>
      </c>
      <c r="K356">
        <v>13.4</v>
      </c>
      <c r="L356">
        <v>46.8</v>
      </c>
      <c r="M356" t="s">
        <v>23</v>
      </c>
      <c r="N356" s="7">
        <v>44869</v>
      </c>
      <c r="O356" t="str" cm="1">
        <f t="array" ref="O356">_xlfn.IFS(tbl_loans_clean[[#This Row],[Credit_Score]]&lt;650,"580-649",tbl_loans_clean[[#This Row],[Credit_Score]]&lt;700,"650-699",tbl_loans_clean[[#This Row],[Credit_Score]]&lt;750,"700-749",TRUE,"750+")</f>
        <v>650-699</v>
      </c>
    </row>
    <row r="357" spans="1:15" x14ac:dyDescent="0.35">
      <c r="A357" t="s">
        <v>206</v>
      </c>
      <c r="B357" t="s">
        <v>25</v>
      </c>
      <c r="C357" t="s">
        <v>22</v>
      </c>
      <c r="D357" t="s">
        <v>17</v>
      </c>
      <c r="E357">
        <v>319063</v>
      </c>
      <c r="F357">
        <v>12.5</v>
      </c>
      <c r="G357">
        <v>120</v>
      </c>
      <c r="H357">
        <v>127515</v>
      </c>
      <c r="I357">
        <v>805</v>
      </c>
      <c r="J357" t="s">
        <v>18</v>
      </c>
      <c r="K357">
        <v>22.9</v>
      </c>
      <c r="L357">
        <v>36.6</v>
      </c>
      <c r="M357" t="s">
        <v>19</v>
      </c>
      <c r="N357" s="7">
        <v>44873</v>
      </c>
      <c r="O357" t="str" cm="1">
        <f t="array" ref="O357">_xlfn.IFS(tbl_loans_clean[[#This Row],[Credit_Score]]&lt;650,"580-649",tbl_loans_clean[[#This Row],[Credit_Score]]&lt;700,"650-699",tbl_loans_clean[[#This Row],[Credit_Score]]&lt;750,"700-749",TRUE,"750+")</f>
        <v>750+</v>
      </c>
    </row>
    <row r="358" spans="1:15" x14ac:dyDescent="0.35">
      <c r="A358" t="s">
        <v>635</v>
      </c>
      <c r="B358" t="s">
        <v>30</v>
      </c>
      <c r="C358" t="s">
        <v>16</v>
      </c>
      <c r="D358" t="s">
        <v>45</v>
      </c>
      <c r="E358">
        <v>665327</v>
      </c>
      <c r="F358">
        <v>8.39</v>
      </c>
      <c r="G358">
        <v>240</v>
      </c>
      <c r="H358">
        <v>146027</v>
      </c>
      <c r="I358">
        <v>655</v>
      </c>
      <c r="J358" t="s">
        <v>26</v>
      </c>
      <c r="K358">
        <v>4.8</v>
      </c>
      <c r="L358">
        <v>35.6</v>
      </c>
      <c r="M358" t="s">
        <v>19</v>
      </c>
      <c r="N358" s="7">
        <v>44873</v>
      </c>
      <c r="O358" t="str" cm="1">
        <f t="array" ref="O358">_xlfn.IFS(tbl_loans_clean[[#This Row],[Credit_Score]]&lt;650,"580-649",tbl_loans_clean[[#This Row],[Credit_Score]]&lt;700,"650-699",tbl_loans_clean[[#This Row],[Credit_Score]]&lt;750,"700-749",TRUE,"750+")</f>
        <v>650-699</v>
      </c>
    </row>
    <row r="359" spans="1:15" x14ac:dyDescent="0.35">
      <c r="A359" t="s">
        <v>144</v>
      </c>
      <c r="B359" t="s">
        <v>15</v>
      </c>
      <c r="C359" t="s">
        <v>16</v>
      </c>
      <c r="D359" t="s">
        <v>32</v>
      </c>
      <c r="E359">
        <v>605309</v>
      </c>
      <c r="F359">
        <v>10.84</v>
      </c>
      <c r="G359">
        <v>240</v>
      </c>
      <c r="H359">
        <v>37290</v>
      </c>
      <c r="I359">
        <v>687</v>
      </c>
      <c r="J359" t="s">
        <v>26</v>
      </c>
      <c r="K359">
        <v>24.2</v>
      </c>
      <c r="L359">
        <v>40.9</v>
      </c>
      <c r="M359" t="s">
        <v>19</v>
      </c>
      <c r="N359" s="7">
        <v>44880</v>
      </c>
      <c r="O359" t="str" cm="1">
        <f t="array" ref="O359">_xlfn.IFS(tbl_loans_clean[[#This Row],[Credit_Score]]&lt;650,"580-649",tbl_loans_clean[[#This Row],[Credit_Score]]&lt;700,"650-699",tbl_loans_clean[[#This Row],[Credit_Score]]&lt;750,"700-749",TRUE,"750+")</f>
        <v>650-699</v>
      </c>
    </row>
    <row r="360" spans="1:15" x14ac:dyDescent="0.35">
      <c r="A360" t="s">
        <v>224</v>
      </c>
      <c r="B360" t="s">
        <v>37</v>
      </c>
      <c r="C360" t="s">
        <v>22</v>
      </c>
      <c r="D360" t="s">
        <v>45</v>
      </c>
      <c r="E360">
        <v>82842</v>
      </c>
      <c r="F360">
        <v>8.33</v>
      </c>
      <c r="G360">
        <v>36</v>
      </c>
      <c r="H360">
        <v>147963</v>
      </c>
      <c r="I360">
        <v>788</v>
      </c>
      <c r="J360" t="s">
        <v>18</v>
      </c>
      <c r="K360">
        <v>14.1</v>
      </c>
      <c r="L360">
        <v>26.9</v>
      </c>
      <c r="M360" t="s">
        <v>23</v>
      </c>
      <c r="N360" s="7">
        <v>44882</v>
      </c>
      <c r="O360" t="str" cm="1">
        <f t="array" ref="O360">_xlfn.IFS(tbl_loans_clean[[#This Row],[Credit_Score]]&lt;650,"580-649",tbl_loans_clean[[#This Row],[Credit_Score]]&lt;700,"650-699",tbl_loans_clean[[#This Row],[Credit_Score]]&lt;750,"700-749",TRUE,"750+")</f>
        <v>750+</v>
      </c>
    </row>
    <row r="361" spans="1:15" x14ac:dyDescent="0.35">
      <c r="A361" t="s">
        <v>823</v>
      </c>
      <c r="B361" t="s">
        <v>15</v>
      </c>
      <c r="C361" t="s">
        <v>22</v>
      </c>
      <c r="D361" t="s">
        <v>43</v>
      </c>
      <c r="E361">
        <v>417672</v>
      </c>
      <c r="F361">
        <v>7.85</v>
      </c>
      <c r="G361">
        <v>300</v>
      </c>
      <c r="H361">
        <v>170429</v>
      </c>
      <c r="I361">
        <v>623</v>
      </c>
      <c r="J361" t="s">
        <v>18</v>
      </c>
      <c r="K361">
        <v>14.7</v>
      </c>
      <c r="L361">
        <v>43.1</v>
      </c>
      <c r="M361" t="s">
        <v>23</v>
      </c>
      <c r="N361" s="7">
        <v>44882</v>
      </c>
      <c r="O361" t="str" cm="1">
        <f t="array" ref="O361">_xlfn.IFS(tbl_loans_clean[[#This Row],[Credit_Score]]&lt;650,"580-649",tbl_loans_clean[[#This Row],[Credit_Score]]&lt;700,"650-699",tbl_loans_clean[[#This Row],[Credit_Score]]&lt;750,"700-749",TRUE,"750+")</f>
        <v>580-649</v>
      </c>
    </row>
    <row r="362" spans="1:15" x14ac:dyDescent="0.35">
      <c r="A362" t="s">
        <v>358</v>
      </c>
      <c r="B362" t="s">
        <v>15</v>
      </c>
      <c r="C362" t="s">
        <v>22</v>
      </c>
      <c r="D362" t="s">
        <v>43</v>
      </c>
      <c r="E362">
        <v>138296</v>
      </c>
      <c r="F362">
        <v>12.86</v>
      </c>
      <c r="G362">
        <v>36</v>
      </c>
      <c r="H362">
        <v>155572</v>
      </c>
      <c r="I362">
        <v>627</v>
      </c>
      <c r="J362" t="s">
        <v>18</v>
      </c>
      <c r="K362">
        <v>9.6999999999999993</v>
      </c>
      <c r="L362">
        <v>15.6</v>
      </c>
      <c r="M362" t="s">
        <v>23</v>
      </c>
      <c r="N362" s="7">
        <v>44883</v>
      </c>
      <c r="O362" t="str" cm="1">
        <f t="array" ref="O362">_xlfn.IFS(tbl_loans_clean[[#This Row],[Credit_Score]]&lt;650,"580-649",tbl_loans_clean[[#This Row],[Credit_Score]]&lt;700,"650-699",tbl_loans_clean[[#This Row],[Credit_Score]]&lt;750,"700-749",TRUE,"750+")</f>
        <v>580-649</v>
      </c>
    </row>
    <row r="363" spans="1:15" x14ac:dyDescent="0.35">
      <c r="A363" t="s">
        <v>480</v>
      </c>
      <c r="B363" t="s">
        <v>28</v>
      </c>
      <c r="C363" t="s">
        <v>34</v>
      </c>
      <c r="D363" t="s">
        <v>17</v>
      </c>
      <c r="E363">
        <v>391721</v>
      </c>
      <c r="F363">
        <v>11.65</v>
      </c>
      <c r="G363">
        <v>60</v>
      </c>
      <c r="H363">
        <v>48923</v>
      </c>
      <c r="I363">
        <v>765</v>
      </c>
      <c r="J363" t="s">
        <v>26</v>
      </c>
      <c r="K363">
        <v>19.8</v>
      </c>
      <c r="L363">
        <v>12.4</v>
      </c>
      <c r="M363" t="s">
        <v>48</v>
      </c>
      <c r="N363" s="7">
        <v>44886</v>
      </c>
      <c r="O363" t="str" cm="1">
        <f t="array" ref="O363">_xlfn.IFS(tbl_loans_clean[[#This Row],[Credit_Score]]&lt;650,"580-649",tbl_loans_clean[[#This Row],[Credit_Score]]&lt;700,"650-699",tbl_loans_clean[[#This Row],[Credit_Score]]&lt;750,"700-749",TRUE,"750+")</f>
        <v>750+</v>
      </c>
    </row>
    <row r="364" spans="1:15" x14ac:dyDescent="0.35">
      <c r="A364" t="s">
        <v>523</v>
      </c>
      <c r="B364" t="s">
        <v>28</v>
      </c>
      <c r="C364" t="s">
        <v>16</v>
      </c>
      <c r="D364" t="s">
        <v>17</v>
      </c>
      <c r="E364">
        <v>528406</v>
      </c>
      <c r="F364">
        <v>11.28</v>
      </c>
      <c r="G364">
        <v>24</v>
      </c>
      <c r="H364">
        <v>96116</v>
      </c>
      <c r="I364">
        <v>722</v>
      </c>
      <c r="J364" t="s">
        <v>35</v>
      </c>
      <c r="K364">
        <v>8.6</v>
      </c>
      <c r="L364">
        <v>28</v>
      </c>
      <c r="M364" t="s">
        <v>23</v>
      </c>
      <c r="N364" s="7">
        <v>44887</v>
      </c>
      <c r="O364" t="str" cm="1">
        <f t="array" ref="O364">_xlfn.IFS(tbl_loans_clean[[#This Row],[Credit_Score]]&lt;650,"580-649",tbl_loans_clean[[#This Row],[Credit_Score]]&lt;700,"650-699",tbl_loans_clean[[#This Row],[Credit_Score]]&lt;750,"700-749",TRUE,"750+")</f>
        <v>700-749</v>
      </c>
    </row>
    <row r="365" spans="1:15" x14ac:dyDescent="0.35">
      <c r="A365" t="s">
        <v>305</v>
      </c>
      <c r="B365" t="s">
        <v>15</v>
      </c>
      <c r="C365" t="s">
        <v>22</v>
      </c>
      <c r="D365" t="s">
        <v>32</v>
      </c>
      <c r="E365">
        <v>618859</v>
      </c>
      <c r="F365">
        <v>5.71</v>
      </c>
      <c r="G365">
        <v>120</v>
      </c>
      <c r="H365">
        <v>176929</v>
      </c>
      <c r="I365">
        <v>713</v>
      </c>
      <c r="J365" t="s">
        <v>18</v>
      </c>
      <c r="K365">
        <v>5.8</v>
      </c>
      <c r="L365">
        <v>47.6</v>
      </c>
      <c r="M365" t="s">
        <v>23</v>
      </c>
      <c r="N365" s="7">
        <v>44892</v>
      </c>
      <c r="O365" t="str" cm="1">
        <f t="array" ref="O365">_xlfn.IFS(tbl_loans_clean[[#This Row],[Credit_Score]]&lt;650,"580-649",tbl_loans_clean[[#This Row],[Credit_Score]]&lt;700,"650-699",tbl_loans_clean[[#This Row],[Credit_Score]]&lt;750,"700-749",TRUE,"750+")</f>
        <v>700-749</v>
      </c>
    </row>
    <row r="366" spans="1:15" x14ac:dyDescent="0.35">
      <c r="A366" t="s">
        <v>554</v>
      </c>
      <c r="B366" t="s">
        <v>71</v>
      </c>
      <c r="C366" t="s">
        <v>16</v>
      </c>
      <c r="D366" t="s">
        <v>17</v>
      </c>
      <c r="E366">
        <v>129932</v>
      </c>
      <c r="F366">
        <v>8.7200000000000006</v>
      </c>
      <c r="G366">
        <v>240</v>
      </c>
      <c r="H366">
        <v>50499</v>
      </c>
      <c r="I366">
        <v>591</v>
      </c>
      <c r="J366" t="s">
        <v>18</v>
      </c>
      <c r="K366">
        <v>19.8</v>
      </c>
      <c r="L366">
        <v>28</v>
      </c>
      <c r="M366" t="s">
        <v>23</v>
      </c>
      <c r="N366" s="7">
        <v>44895</v>
      </c>
      <c r="O366" t="str" cm="1">
        <f t="array" ref="O366">_xlfn.IFS(tbl_loans_clean[[#This Row],[Credit_Score]]&lt;650,"580-649",tbl_loans_clean[[#This Row],[Credit_Score]]&lt;700,"650-699",tbl_loans_clean[[#This Row],[Credit_Score]]&lt;750,"700-749",TRUE,"750+")</f>
        <v>580-649</v>
      </c>
    </row>
    <row r="367" spans="1:15" x14ac:dyDescent="0.35">
      <c r="A367" t="s">
        <v>191</v>
      </c>
      <c r="B367" t="s">
        <v>83</v>
      </c>
      <c r="C367" t="s">
        <v>16</v>
      </c>
      <c r="D367" t="s">
        <v>32</v>
      </c>
      <c r="E367">
        <v>629455</v>
      </c>
      <c r="F367">
        <v>11.55</v>
      </c>
      <c r="G367">
        <v>24</v>
      </c>
      <c r="H367">
        <v>125557</v>
      </c>
      <c r="I367">
        <v>582</v>
      </c>
      <c r="J367" t="s">
        <v>18</v>
      </c>
      <c r="K367">
        <v>5.0999999999999996</v>
      </c>
      <c r="L367">
        <v>28.7</v>
      </c>
      <c r="M367" t="s">
        <v>23</v>
      </c>
      <c r="N367" s="7">
        <v>44899</v>
      </c>
      <c r="O367" t="str" cm="1">
        <f t="array" ref="O367">_xlfn.IFS(tbl_loans_clean[[#This Row],[Credit_Score]]&lt;650,"580-649",tbl_loans_clean[[#This Row],[Credit_Score]]&lt;700,"650-699",tbl_loans_clean[[#This Row],[Credit_Score]]&lt;750,"700-749",TRUE,"750+")</f>
        <v>580-649</v>
      </c>
    </row>
    <row r="368" spans="1:15" x14ac:dyDescent="0.35">
      <c r="A368" t="s">
        <v>394</v>
      </c>
      <c r="B368" t="s">
        <v>28</v>
      </c>
      <c r="C368" t="s">
        <v>16</v>
      </c>
      <c r="D368" t="s">
        <v>45</v>
      </c>
      <c r="E368">
        <v>596202</v>
      </c>
      <c r="F368">
        <v>12.29</v>
      </c>
      <c r="G368">
        <v>12</v>
      </c>
      <c r="H368">
        <v>80413</v>
      </c>
      <c r="I368">
        <v>836</v>
      </c>
      <c r="J368" t="s">
        <v>18</v>
      </c>
      <c r="K368">
        <v>13.1</v>
      </c>
      <c r="L368">
        <v>22.5</v>
      </c>
      <c r="M368" t="s">
        <v>19</v>
      </c>
      <c r="N368" s="7">
        <v>44899</v>
      </c>
      <c r="O368" t="str" cm="1">
        <f t="array" ref="O368">_xlfn.IFS(tbl_loans_clean[[#This Row],[Credit_Score]]&lt;650,"580-649",tbl_loans_clean[[#This Row],[Credit_Score]]&lt;700,"650-699",tbl_loans_clean[[#This Row],[Credit_Score]]&lt;750,"700-749",TRUE,"750+")</f>
        <v>750+</v>
      </c>
    </row>
    <row r="369" spans="1:15" x14ac:dyDescent="0.35">
      <c r="A369" t="s">
        <v>117</v>
      </c>
      <c r="B369" t="s">
        <v>25</v>
      </c>
      <c r="C369" t="s">
        <v>16</v>
      </c>
      <c r="D369" t="s">
        <v>17</v>
      </c>
      <c r="E369">
        <v>473466</v>
      </c>
      <c r="F369">
        <v>4.4800000000000004</v>
      </c>
      <c r="G369">
        <v>12</v>
      </c>
      <c r="H369">
        <v>201503</v>
      </c>
      <c r="I369">
        <v>677</v>
      </c>
      <c r="J369" t="s">
        <v>18</v>
      </c>
      <c r="K369">
        <v>11.7</v>
      </c>
      <c r="L369">
        <v>21</v>
      </c>
      <c r="M369" t="s">
        <v>19</v>
      </c>
      <c r="N369" s="7">
        <v>44900</v>
      </c>
      <c r="O369" t="str" cm="1">
        <f t="array" ref="O369">_xlfn.IFS(tbl_loans_clean[[#This Row],[Credit_Score]]&lt;650,"580-649",tbl_loans_clean[[#This Row],[Credit_Score]]&lt;700,"650-699",tbl_loans_clean[[#This Row],[Credit_Score]]&lt;750,"700-749",TRUE,"750+")</f>
        <v>650-699</v>
      </c>
    </row>
    <row r="370" spans="1:15" x14ac:dyDescent="0.35">
      <c r="A370" t="s">
        <v>217</v>
      </c>
      <c r="B370" t="s">
        <v>28</v>
      </c>
      <c r="C370" t="s">
        <v>16</v>
      </c>
      <c r="D370" t="s">
        <v>45</v>
      </c>
      <c r="E370">
        <v>672304</v>
      </c>
      <c r="F370">
        <v>9.8000000000000007</v>
      </c>
      <c r="G370">
        <v>48</v>
      </c>
      <c r="H370">
        <v>124444</v>
      </c>
      <c r="I370">
        <v>635</v>
      </c>
      <c r="J370" t="s">
        <v>18</v>
      </c>
      <c r="K370">
        <v>6.7</v>
      </c>
      <c r="L370">
        <v>45.9</v>
      </c>
      <c r="M370" t="s">
        <v>19</v>
      </c>
      <c r="N370" s="7">
        <v>44900</v>
      </c>
      <c r="O370" t="str" cm="1">
        <f t="array" ref="O370">_xlfn.IFS(tbl_loans_clean[[#This Row],[Credit_Score]]&lt;650,"580-649",tbl_loans_clean[[#This Row],[Credit_Score]]&lt;700,"650-699",tbl_loans_clean[[#This Row],[Credit_Score]]&lt;750,"700-749",TRUE,"750+")</f>
        <v>580-649</v>
      </c>
    </row>
    <row r="371" spans="1:15" x14ac:dyDescent="0.35">
      <c r="A371" t="s">
        <v>620</v>
      </c>
      <c r="B371" t="s">
        <v>15</v>
      </c>
      <c r="C371" t="s">
        <v>22</v>
      </c>
      <c r="D371" t="s">
        <v>45</v>
      </c>
      <c r="E371">
        <v>654969</v>
      </c>
      <c r="F371">
        <v>12.97</v>
      </c>
      <c r="G371">
        <v>24</v>
      </c>
      <c r="H371">
        <v>43689</v>
      </c>
      <c r="I371">
        <v>818</v>
      </c>
      <c r="J371" t="s">
        <v>26</v>
      </c>
      <c r="K371">
        <v>23.3</v>
      </c>
      <c r="L371">
        <v>27.5</v>
      </c>
      <c r="M371" t="s">
        <v>23</v>
      </c>
      <c r="N371" s="7">
        <v>44900</v>
      </c>
      <c r="O371" t="str" cm="1">
        <f t="array" ref="O371">_xlfn.IFS(tbl_loans_clean[[#This Row],[Credit_Score]]&lt;650,"580-649",tbl_loans_clean[[#This Row],[Credit_Score]]&lt;700,"650-699",tbl_loans_clean[[#This Row],[Credit_Score]]&lt;750,"700-749",TRUE,"750+")</f>
        <v>750+</v>
      </c>
    </row>
    <row r="372" spans="1:15" x14ac:dyDescent="0.35">
      <c r="A372" t="s">
        <v>651</v>
      </c>
      <c r="B372" t="s">
        <v>28</v>
      </c>
      <c r="C372" t="s">
        <v>34</v>
      </c>
      <c r="D372" t="s">
        <v>73</v>
      </c>
      <c r="E372">
        <v>395642</v>
      </c>
      <c r="F372">
        <v>7.4</v>
      </c>
      <c r="G372">
        <v>36</v>
      </c>
      <c r="H372">
        <v>50616</v>
      </c>
      <c r="I372">
        <v>598</v>
      </c>
      <c r="J372" t="s">
        <v>18</v>
      </c>
      <c r="K372">
        <v>22.7</v>
      </c>
      <c r="L372">
        <v>32.9</v>
      </c>
      <c r="M372" t="s">
        <v>55</v>
      </c>
      <c r="N372" s="7">
        <v>44901</v>
      </c>
      <c r="O372" t="str" cm="1">
        <f t="array" ref="O372">_xlfn.IFS(tbl_loans_clean[[#This Row],[Credit_Score]]&lt;650,"580-649",tbl_loans_clean[[#This Row],[Credit_Score]]&lt;700,"650-699",tbl_loans_clean[[#This Row],[Credit_Score]]&lt;750,"700-749",TRUE,"750+")</f>
        <v>580-649</v>
      </c>
    </row>
    <row r="373" spans="1:15" x14ac:dyDescent="0.35">
      <c r="A373" t="s">
        <v>40</v>
      </c>
      <c r="B373" t="s">
        <v>28</v>
      </c>
      <c r="C373" t="s">
        <v>22</v>
      </c>
      <c r="D373" t="s">
        <v>17</v>
      </c>
      <c r="E373">
        <v>516603</v>
      </c>
      <c r="F373">
        <v>7.54</v>
      </c>
      <c r="G373">
        <v>60</v>
      </c>
      <c r="H373">
        <v>163150</v>
      </c>
      <c r="I373">
        <v>764</v>
      </c>
      <c r="J373" t="s">
        <v>26</v>
      </c>
      <c r="K373">
        <v>3</v>
      </c>
      <c r="L373">
        <v>45.7</v>
      </c>
      <c r="M373" t="s">
        <v>23</v>
      </c>
      <c r="N373" s="7">
        <v>44902</v>
      </c>
      <c r="O373" t="str" cm="1">
        <f t="array" ref="O373">_xlfn.IFS(tbl_loans_clean[[#This Row],[Credit_Score]]&lt;650,"580-649",tbl_loans_clean[[#This Row],[Credit_Score]]&lt;700,"650-699",tbl_loans_clean[[#This Row],[Credit_Score]]&lt;750,"700-749",TRUE,"750+")</f>
        <v>750+</v>
      </c>
    </row>
    <row r="374" spans="1:15" x14ac:dyDescent="0.35">
      <c r="A374" t="s">
        <v>322</v>
      </c>
      <c r="B374" t="s">
        <v>83</v>
      </c>
      <c r="C374" t="s">
        <v>16</v>
      </c>
      <c r="D374" t="s">
        <v>45</v>
      </c>
      <c r="E374">
        <v>341907</v>
      </c>
      <c r="F374">
        <v>8.85</v>
      </c>
      <c r="G374">
        <v>300</v>
      </c>
      <c r="H374">
        <v>130828</v>
      </c>
      <c r="I374">
        <v>719</v>
      </c>
      <c r="J374" t="s">
        <v>26</v>
      </c>
      <c r="K374">
        <v>23.2</v>
      </c>
      <c r="L374">
        <v>45.7</v>
      </c>
      <c r="M374" t="s">
        <v>48</v>
      </c>
      <c r="N374" s="7">
        <v>44902</v>
      </c>
      <c r="O374" t="str" cm="1">
        <f t="array" ref="O374">_xlfn.IFS(tbl_loans_clean[[#This Row],[Credit_Score]]&lt;650,"580-649",tbl_loans_clean[[#This Row],[Credit_Score]]&lt;700,"650-699",tbl_loans_clean[[#This Row],[Credit_Score]]&lt;750,"700-749",TRUE,"750+")</f>
        <v>700-749</v>
      </c>
    </row>
    <row r="375" spans="1:15" x14ac:dyDescent="0.35">
      <c r="A375" t="s">
        <v>626</v>
      </c>
      <c r="B375" t="s">
        <v>28</v>
      </c>
      <c r="C375" t="s">
        <v>16</v>
      </c>
      <c r="D375" t="s">
        <v>45</v>
      </c>
      <c r="E375">
        <v>416236</v>
      </c>
      <c r="F375">
        <v>12.28</v>
      </c>
      <c r="G375">
        <v>12</v>
      </c>
      <c r="H375">
        <v>143828</v>
      </c>
      <c r="I375">
        <v>756</v>
      </c>
      <c r="J375" t="s">
        <v>26</v>
      </c>
      <c r="K375">
        <v>9.1999999999999993</v>
      </c>
      <c r="L375">
        <v>21.1</v>
      </c>
      <c r="M375" t="s">
        <v>23</v>
      </c>
      <c r="N375" s="7">
        <v>44902</v>
      </c>
      <c r="O375" t="str" cm="1">
        <f t="array" ref="O375">_xlfn.IFS(tbl_loans_clean[[#This Row],[Credit_Score]]&lt;650,"580-649",tbl_loans_clean[[#This Row],[Credit_Score]]&lt;700,"650-699",tbl_loans_clean[[#This Row],[Credit_Score]]&lt;750,"700-749",TRUE,"750+")</f>
        <v>750+</v>
      </c>
    </row>
    <row r="376" spans="1:15" x14ac:dyDescent="0.35">
      <c r="A376" t="s">
        <v>575</v>
      </c>
      <c r="B376" t="s">
        <v>15</v>
      </c>
      <c r="C376" t="s">
        <v>34</v>
      </c>
      <c r="D376" t="s">
        <v>32</v>
      </c>
      <c r="E376">
        <v>363402</v>
      </c>
      <c r="F376">
        <v>11.53</v>
      </c>
      <c r="G376">
        <v>60</v>
      </c>
      <c r="H376">
        <v>183371</v>
      </c>
      <c r="I376">
        <v>750</v>
      </c>
      <c r="J376" t="s">
        <v>18</v>
      </c>
      <c r="K376">
        <v>21.9</v>
      </c>
      <c r="L376">
        <v>35</v>
      </c>
      <c r="M376" t="s">
        <v>23</v>
      </c>
      <c r="N376" s="7">
        <v>44907</v>
      </c>
      <c r="O376" t="str" cm="1">
        <f t="array" ref="O376">_xlfn.IFS(tbl_loans_clean[[#This Row],[Credit_Score]]&lt;650,"580-649",tbl_loans_clean[[#This Row],[Credit_Score]]&lt;700,"650-699",tbl_loans_clean[[#This Row],[Credit_Score]]&lt;750,"700-749",TRUE,"750+")</f>
        <v>750+</v>
      </c>
    </row>
    <row r="377" spans="1:15" x14ac:dyDescent="0.35">
      <c r="A377" t="s">
        <v>101</v>
      </c>
      <c r="B377" t="s">
        <v>30</v>
      </c>
      <c r="C377" t="s">
        <v>22</v>
      </c>
      <c r="D377" t="s">
        <v>32</v>
      </c>
      <c r="E377">
        <v>55098</v>
      </c>
      <c r="F377">
        <v>10.45</v>
      </c>
      <c r="G377">
        <v>48</v>
      </c>
      <c r="H377">
        <v>172403</v>
      </c>
      <c r="I377">
        <v>777</v>
      </c>
      <c r="J377" t="s">
        <v>26</v>
      </c>
      <c r="K377">
        <v>6.7</v>
      </c>
      <c r="L377">
        <v>15.7</v>
      </c>
      <c r="M377" t="s">
        <v>23</v>
      </c>
      <c r="N377" s="7">
        <v>44908</v>
      </c>
      <c r="O377" t="str" cm="1">
        <f t="array" ref="O377">_xlfn.IFS(tbl_loans_clean[[#This Row],[Credit_Score]]&lt;650,"580-649",tbl_loans_clean[[#This Row],[Credit_Score]]&lt;700,"650-699",tbl_loans_clean[[#This Row],[Credit_Score]]&lt;750,"700-749",TRUE,"750+")</f>
        <v>750+</v>
      </c>
    </row>
    <row r="378" spans="1:15" x14ac:dyDescent="0.35">
      <c r="A378" t="s">
        <v>363</v>
      </c>
      <c r="B378" t="s">
        <v>28</v>
      </c>
      <c r="C378" t="s">
        <v>34</v>
      </c>
      <c r="D378" t="s">
        <v>17</v>
      </c>
      <c r="E378">
        <v>245016</v>
      </c>
      <c r="F378">
        <v>12.28</v>
      </c>
      <c r="G378">
        <v>48</v>
      </c>
      <c r="H378">
        <v>88610</v>
      </c>
      <c r="I378">
        <v>632</v>
      </c>
      <c r="J378" t="s">
        <v>26</v>
      </c>
      <c r="K378">
        <v>22</v>
      </c>
      <c r="L378">
        <v>32.200000000000003</v>
      </c>
      <c r="M378" t="s">
        <v>23</v>
      </c>
      <c r="N378" s="7">
        <v>44911</v>
      </c>
      <c r="O378" t="str" cm="1">
        <f t="array" ref="O378">_xlfn.IFS(tbl_loans_clean[[#This Row],[Credit_Score]]&lt;650,"580-649",tbl_loans_clean[[#This Row],[Credit_Score]]&lt;700,"650-699",tbl_loans_clean[[#This Row],[Credit_Score]]&lt;750,"700-749",TRUE,"750+")</f>
        <v>580-649</v>
      </c>
    </row>
    <row r="379" spans="1:15" x14ac:dyDescent="0.35">
      <c r="A379" t="s">
        <v>549</v>
      </c>
      <c r="B379" t="s">
        <v>25</v>
      </c>
      <c r="C379" t="s">
        <v>34</v>
      </c>
      <c r="D379" t="s">
        <v>73</v>
      </c>
      <c r="E379">
        <v>23990</v>
      </c>
      <c r="F379">
        <v>11.11</v>
      </c>
      <c r="G379">
        <v>36</v>
      </c>
      <c r="H379">
        <v>100572</v>
      </c>
      <c r="I379">
        <v>738</v>
      </c>
      <c r="J379" t="s">
        <v>26</v>
      </c>
      <c r="K379">
        <v>7.2</v>
      </c>
      <c r="L379">
        <v>40.4</v>
      </c>
      <c r="M379" t="s">
        <v>23</v>
      </c>
      <c r="N379" s="7">
        <v>44914</v>
      </c>
      <c r="O379" t="str" cm="1">
        <f t="array" ref="O379">_xlfn.IFS(tbl_loans_clean[[#This Row],[Credit_Score]]&lt;650,"580-649",tbl_loans_clean[[#This Row],[Credit_Score]]&lt;700,"650-699",tbl_loans_clean[[#This Row],[Credit_Score]]&lt;750,"700-749",TRUE,"750+")</f>
        <v>700-749</v>
      </c>
    </row>
    <row r="380" spans="1:15" x14ac:dyDescent="0.35">
      <c r="A380" t="s">
        <v>830</v>
      </c>
      <c r="B380" t="s">
        <v>15</v>
      </c>
      <c r="C380" t="s">
        <v>22</v>
      </c>
      <c r="D380" t="s">
        <v>38</v>
      </c>
      <c r="E380">
        <v>418089</v>
      </c>
      <c r="F380">
        <v>6.27</v>
      </c>
      <c r="G380">
        <v>12</v>
      </c>
      <c r="H380">
        <v>35951</v>
      </c>
      <c r="I380">
        <v>646</v>
      </c>
      <c r="J380" t="s">
        <v>39</v>
      </c>
      <c r="K380">
        <v>19.600000000000001</v>
      </c>
      <c r="L380">
        <v>30.7</v>
      </c>
      <c r="M380" t="s">
        <v>55</v>
      </c>
      <c r="N380" s="7">
        <v>44914</v>
      </c>
      <c r="O380" t="str" cm="1">
        <f t="array" ref="O380">_xlfn.IFS(tbl_loans_clean[[#This Row],[Credit_Score]]&lt;650,"580-649",tbl_loans_clean[[#This Row],[Credit_Score]]&lt;700,"650-699",tbl_loans_clean[[#This Row],[Credit_Score]]&lt;750,"700-749",TRUE,"750+")</f>
        <v>580-649</v>
      </c>
    </row>
    <row r="381" spans="1:15" x14ac:dyDescent="0.35">
      <c r="A381" t="s">
        <v>539</v>
      </c>
      <c r="B381" t="s">
        <v>30</v>
      </c>
      <c r="C381" t="s">
        <v>22</v>
      </c>
      <c r="D381" t="s">
        <v>45</v>
      </c>
      <c r="E381">
        <v>716111</v>
      </c>
      <c r="F381">
        <v>9.9700000000000006</v>
      </c>
      <c r="G381">
        <v>120</v>
      </c>
      <c r="H381">
        <v>133468</v>
      </c>
      <c r="I381">
        <v>816</v>
      </c>
      <c r="J381" t="s">
        <v>26</v>
      </c>
      <c r="K381">
        <v>10.199999999999999</v>
      </c>
      <c r="L381">
        <v>36.200000000000003</v>
      </c>
      <c r="M381" t="s">
        <v>19</v>
      </c>
      <c r="N381" s="7">
        <v>44915</v>
      </c>
      <c r="O381" t="str" cm="1">
        <f t="array" ref="O381">_xlfn.IFS(tbl_loans_clean[[#This Row],[Credit_Score]]&lt;650,"580-649",tbl_loans_clean[[#This Row],[Credit_Score]]&lt;700,"650-699",tbl_loans_clean[[#This Row],[Credit_Score]]&lt;750,"700-749",TRUE,"750+")</f>
        <v>750+</v>
      </c>
    </row>
    <row r="382" spans="1:15" x14ac:dyDescent="0.35">
      <c r="A382" t="s">
        <v>718</v>
      </c>
      <c r="B382" t="s">
        <v>30</v>
      </c>
      <c r="C382" t="s">
        <v>34</v>
      </c>
      <c r="D382" t="s">
        <v>38</v>
      </c>
      <c r="E382">
        <v>98330</v>
      </c>
      <c r="F382">
        <v>8.49</v>
      </c>
      <c r="G382">
        <v>36</v>
      </c>
      <c r="H382">
        <v>109010</v>
      </c>
      <c r="I382">
        <v>751</v>
      </c>
      <c r="J382" t="s">
        <v>18</v>
      </c>
      <c r="K382">
        <v>17.5</v>
      </c>
      <c r="L382">
        <v>45.3</v>
      </c>
      <c r="M382" t="s">
        <v>19</v>
      </c>
      <c r="N382" s="7">
        <v>44917</v>
      </c>
      <c r="O382" t="str" cm="1">
        <f t="array" ref="O382">_xlfn.IFS(tbl_loans_clean[[#This Row],[Credit_Score]]&lt;650,"580-649",tbl_loans_clean[[#This Row],[Credit_Score]]&lt;700,"650-699",tbl_loans_clean[[#This Row],[Credit_Score]]&lt;750,"700-749",TRUE,"750+")</f>
        <v>750+</v>
      </c>
    </row>
    <row r="383" spans="1:15" x14ac:dyDescent="0.35">
      <c r="A383" t="s">
        <v>257</v>
      </c>
      <c r="B383" t="s">
        <v>30</v>
      </c>
      <c r="C383" t="s">
        <v>22</v>
      </c>
      <c r="D383" t="s">
        <v>17</v>
      </c>
      <c r="E383">
        <v>46869</v>
      </c>
      <c r="F383">
        <v>6.7</v>
      </c>
      <c r="G383">
        <v>120</v>
      </c>
      <c r="H383">
        <v>33209</v>
      </c>
      <c r="I383">
        <v>791</v>
      </c>
      <c r="J383" t="s">
        <v>18</v>
      </c>
      <c r="K383">
        <v>23.4</v>
      </c>
      <c r="L383">
        <v>27.4</v>
      </c>
      <c r="M383" t="s">
        <v>23</v>
      </c>
      <c r="N383" s="7">
        <v>44919</v>
      </c>
      <c r="O383" t="str" cm="1">
        <f t="array" ref="O383">_xlfn.IFS(tbl_loans_clean[[#This Row],[Credit_Score]]&lt;650,"580-649",tbl_loans_clean[[#This Row],[Credit_Score]]&lt;700,"650-699",tbl_loans_clean[[#This Row],[Credit_Score]]&lt;750,"700-749",TRUE,"750+")</f>
        <v>750+</v>
      </c>
    </row>
    <row r="384" spans="1:15" x14ac:dyDescent="0.35">
      <c r="A384" t="s">
        <v>164</v>
      </c>
      <c r="B384" t="s">
        <v>30</v>
      </c>
      <c r="C384" t="s">
        <v>16</v>
      </c>
      <c r="D384" t="s">
        <v>17</v>
      </c>
      <c r="E384">
        <v>373377</v>
      </c>
      <c r="F384">
        <v>6.06</v>
      </c>
      <c r="G384">
        <v>60</v>
      </c>
      <c r="H384">
        <v>186477</v>
      </c>
      <c r="I384">
        <v>602</v>
      </c>
      <c r="J384" t="s">
        <v>18</v>
      </c>
      <c r="K384">
        <v>1</v>
      </c>
      <c r="L384">
        <v>27</v>
      </c>
      <c r="M384" t="s">
        <v>23</v>
      </c>
      <c r="N384" s="7">
        <v>44921</v>
      </c>
      <c r="O384" t="str" cm="1">
        <f t="array" ref="O384">_xlfn.IFS(tbl_loans_clean[[#This Row],[Credit_Score]]&lt;650,"580-649",tbl_loans_clean[[#This Row],[Credit_Score]]&lt;700,"650-699",tbl_loans_clean[[#This Row],[Credit_Score]]&lt;750,"700-749",TRUE,"750+")</f>
        <v>580-649</v>
      </c>
    </row>
    <row r="385" spans="1:15" x14ac:dyDescent="0.35">
      <c r="A385" t="s">
        <v>420</v>
      </c>
      <c r="B385" t="s">
        <v>25</v>
      </c>
      <c r="C385" t="s">
        <v>16</v>
      </c>
      <c r="D385" t="s">
        <v>43</v>
      </c>
      <c r="E385">
        <v>374836</v>
      </c>
      <c r="F385">
        <v>8.56</v>
      </c>
      <c r="G385">
        <v>300</v>
      </c>
      <c r="H385">
        <v>132215</v>
      </c>
      <c r="I385">
        <v>587</v>
      </c>
      <c r="J385" t="s">
        <v>35</v>
      </c>
      <c r="K385">
        <v>10.3</v>
      </c>
      <c r="L385">
        <v>19.399999999999999</v>
      </c>
      <c r="M385" t="s">
        <v>23</v>
      </c>
      <c r="N385" s="7">
        <v>44925</v>
      </c>
      <c r="O385" t="str" cm="1">
        <f t="array" ref="O385">_xlfn.IFS(tbl_loans_clean[[#This Row],[Credit_Score]]&lt;650,"580-649",tbl_loans_clean[[#This Row],[Credit_Score]]&lt;700,"650-699",tbl_loans_clean[[#This Row],[Credit_Score]]&lt;750,"700-749",TRUE,"750+")</f>
        <v>580-649</v>
      </c>
    </row>
    <row r="386" spans="1:15" x14ac:dyDescent="0.35">
      <c r="A386" t="s">
        <v>567</v>
      </c>
      <c r="B386" t="s">
        <v>15</v>
      </c>
      <c r="C386" t="s">
        <v>22</v>
      </c>
      <c r="D386" t="s">
        <v>45</v>
      </c>
      <c r="E386">
        <v>657845</v>
      </c>
      <c r="F386">
        <v>10.06</v>
      </c>
      <c r="G386">
        <v>36</v>
      </c>
      <c r="H386">
        <v>212847</v>
      </c>
      <c r="I386">
        <v>612</v>
      </c>
      <c r="J386" t="s">
        <v>18</v>
      </c>
      <c r="K386">
        <v>11.3</v>
      </c>
      <c r="L386">
        <v>36.6</v>
      </c>
      <c r="M386" t="s">
        <v>23</v>
      </c>
      <c r="N386" s="7">
        <v>44927</v>
      </c>
      <c r="O386" t="str" cm="1">
        <f t="array" ref="O386">_xlfn.IFS(tbl_loans_clean[[#This Row],[Credit_Score]]&lt;650,"580-649",tbl_loans_clean[[#This Row],[Credit_Score]]&lt;700,"650-699",tbl_loans_clean[[#This Row],[Credit_Score]]&lt;750,"700-749",TRUE,"750+")</f>
        <v>580-649</v>
      </c>
    </row>
    <row r="387" spans="1:15" x14ac:dyDescent="0.35">
      <c r="A387" t="s">
        <v>120</v>
      </c>
      <c r="B387" t="s">
        <v>30</v>
      </c>
      <c r="C387" t="s">
        <v>22</v>
      </c>
      <c r="D387" t="s">
        <v>45</v>
      </c>
      <c r="E387">
        <v>567060</v>
      </c>
      <c r="F387">
        <v>11.16</v>
      </c>
      <c r="G387">
        <v>24</v>
      </c>
      <c r="H387">
        <v>208066</v>
      </c>
      <c r="I387">
        <v>691</v>
      </c>
      <c r="J387" t="s">
        <v>18</v>
      </c>
      <c r="K387">
        <v>17.899999999999999</v>
      </c>
      <c r="L387">
        <v>26.4</v>
      </c>
      <c r="M387" t="s">
        <v>19</v>
      </c>
      <c r="N387" s="7">
        <v>44930</v>
      </c>
      <c r="O387" t="str" cm="1">
        <f t="array" ref="O387">_xlfn.IFS(tbl_loans_clean[[#This Row],[Credit_Score]]&lt;650,"580-649",tbl_loans_clean[[#This Row],[Credit_Score]]&lt;700,"650-699",tbl_loans_clean[[#This Row],[Credit_Score]]&lt;750,"700-749",TRUE,"750+")</f>
        <v>650-699</v>
      </c>
    </row>
    <row r="388" spans="1:15" x14ac:dyDescent="0.35">
      <c r="A388" t="s">
        <v>485</v>
      </c>
      <c r="B388" t="s">
        <v>15</v>
      </c>
      <c r="C388" t="s">
        <v>34</v>
      </c>
      <c r="D388" t="s">
        <v>17</v>
      </c>
      <c r="E388">
        <v>60350</v>
      </c>
      <c r="F388">
        <v>3.66</v>
      </c>
      <c r="G388">
        <v>120</v>
      </c>
      <c r="H388">
        <v>79413</v>
      </c>
      <c r="I388">
        <v>668</v>
      </c>
      <c r="J388" t="s">
        <v>18</v>
      </c>
      <c r="K388">
        <v>18.5</v>
      </c>
      <c r="L388">
        <v>11.1</v>
      </c>
      <c r="M388" t="s">
        <v>55</v>
      </c>
      <c r="N388" s="7">
        <v>44931</v>
      </c>
      <c r="O388" t="str" cm="1">
        <f t="array" ref="O388">_xlfn.IFS(tbl_loans_clean[[#This Row],[Credit_Score]]&lt;650,"580-649",tbl_loans_clean[[#This Row],[Credit_Score]]&lt;700,"650-699",tbl_loans_clean[[#This Row],[Credit_Score]]&lt;750,"700-749",TRUE,"750+")</f>
        <v>650-699</v>
      </c>
    </row>
    <row r="389" spans="1:15" x14ac:dyDescent="0.35">
      <c r="A389" t="s">
        <v>569</v>
      </c>
      <c r="B389" t="s">
        <v>30</v>
      </c>
      <c r="C389" t="s">
        <v>16</v>
      </c>
      <c r="D389" t="s">
        <v>17</v>
      </c>
      <c r="E389">
        <v>258317</v>
      </c>
      <c r="F389">
        <v>13.18</v>
      </c>
      <c r="G389">
        <v>120</v>
      </c>
      <c r="H389">
        <v>99154</v>
      </c>
      <c r="I389">
        <v>635</v>
      </c>
      <c r="J389" t="s">
        <v>18</v>
      </c>
      <c r="K389">
        <v>1.4</v>
      </c>
      <c r="L389">
        <v>36.200000000000003</v>
      </c>
      <c r="M389" t="s">
        <v>23</v>
      </c>
      <c r="N389" s="7">
        <v>44934</v>
      </c>
      <c r="O389" t="str" cm="1">
        <f t="array" ref="O389">_xlfn.IFS(tbl_loans_clean[[#This Row],[Credit_Score]]&lt;650,"580-649",tbl_loans_clean[[#This Row],[Credit_Score]]&lt;700,"650-699",tbl_loans_clean[[#This Row],[Credit_Score]]&lt;750,"700-749",TRUE,"750+")</f>
        <v>580-649</v>
      </c>
    </row>
    <row r="390" spans="1:15" x14ac:dyDescent="0.35">
      <c r="A390" t="s">
        <v>104</v>
      </c>
      <c r="B390" t="s">
        <v>30</v>
      </c>
      <c r="C390" t="s">
        <v>22</v>
      </c>
      <c r="D390" t="s">
        <v>52</v>
      </c>
      <c r="E390">
        <v>252199</v>
      </c>
      <c r="F390">
        <v>5.45</v>
      </c>
      <c r="G390">
        <v>24</v>
      </c>
      <c r="H390">
        <v>91014</v>
      </c>
      <c r="I390">
        <v>644</v>
      </c>
      <c r="J390" t="s">
        <v>26</v>
      </c>
      <c r="K390">
        <v>18.100000000000001</v>
      </c>
      <c r="L390">
        <v>40.200000000000003</v>
      </c>
      <c r="M390" t="s">
        <v>19</v>
      </c>
      <c r="N390" s="7">
        <v>44935</v>
      </c>
      <c r="O390" t="str" cm="1">
        <f t="array" ref="O390">_xlfn.IFS(tbl_loans_clean[[#This Row],[Credit_Score]]&lt;650,"580-649",tbl_loans_clean[[#This Row],[Credit_Score]]&lt;700,"650-699",tbl_loans_clean[[#This Row],[Credit_Score]]&lt;750,"700-749",TRUE,"750+")</f>
        <v>580-649</v>
      </c>
    </row>
    <row r="391" spans="1:15" x14ac:dyDescent="0.35">
      <c r="A391" t="s">
        <v>838</v>
      </c>
      <c r="B391" t="s">
        <v>71</v>
      </c>
      <c r="C391" t="s">
        <v>22</v>
      </c>
      <c r="D391" t="s">
        <v>17</v>
      </c>
      <c r="E391">
        <v>47291</v>
      </c>
      <c r="F391">
        <v>9.2100000000000009</v>
      </c>
      <c r="G391">
        <v>60</v>
      </c>
      <c r="H391">
        <v>210774</v>
      </c>
      <c r="I391">
        <v>810</v>
      </c>
      <c r="J391" t="s">
        <v>26</v>
      </c>
      <c r="K391">
        <v>5.0999999999999996</v>
      </c>
      <c r="L391">
        <v>12.7</v>
      </c>
      <c r="M391" t="s">
        <v>19</v>
      </c>
      <c r="N391" s="7">
        <v>44935</v>
      </c>
      <c r="O391" t="str" cm="1">
        <f t="array" ref="O391">_xlfn.IFS(tbl_loans_clean[[#This Row],[Credit_Score]]&lt;650,"580-649",tbl_loans_clean[[#This Row],[Credit_Score]]&lt;700,"650-699",tbl_loans_clean[[#This Row],[Credit_Score]]&lt;750,"700-749",TRUE,"750+")</f>
        <v>750+</v>
      </c>
    </row>
    <row r="392" spans="1:15" x14ac:dyDescent="0.35">
      <c r="A392" t="s">
        <v>814</v>
      </c>
      <c r="B392" t="s">
        <v>30</v>
      </c>
      <c r="C392" t="s">
        <v>16</v>
      </c>
      <c r="D392" t="s">
        <v>45</v>
      </c>
      <c r="E392">
        <v>38872</v>
      </c>
      <c r="F392">
        <v>11.72</v>
      </c>
      <c r="G392">
        <v>240</v>
      </c>
      <c r="H392">
        <v>49029</v>
      </c>
      <c r="I392">
        <v>701</v>
      </c>
      <c r="J392" t="s">
        <v>18</v>
      </c>
      <c r="K392">
        <v>15.1</v>
      </c>
      <c r="L392">
        <v>26.1</v>
      </c>
      <c r="M392" t="s">
        <v>23</v>
      </c>
      <c r="N392" s="7">
        <v>44936</v>
      </c>
      <c r="O392" t="str" cm="1">
        <f t="array" ref="O392">_xlfn.IFS(tbl_loans_clean[[#This Row],[Credit_Score]]&lt;650,"580-649",tbl_loans_clean[[#This Row],[Credit_Score]]&lt;700,"650-699",tbl_loans_clean[[#This Row],[Credit_Score]]&lt;750,"700-749",TRUE,"750+")</f>
        <v>700-749</v>
      </c>
    </row>
    <row r="393" spans="1:15" x14ac:dyDescent="0.35">
      <c r="A393" t="s">
        <v>378</v>
      </c>
      <c r="B393" t="s">
        <v>37</v>
      </c>
      <c r="C393" t="s">
        <v>34</v>
      </c>
      <c r="D393" t="s">
        <v>17</v>
      </c>
      <c r="E393">
        <v>640310</v>
      </c>
      <c r="F393">
        <v>9.52</v>
      </c>
      <c r="G393">
        <v>240</v>
      </c>
      <c r="H393">
        <v>211223</v>
      </c>
      <c r="I393">
        <v>846</v>
      </c>
      <c r="J393" t="s">
        <v>35</v>
      </c>
      <c r="K393">
        <v>4.8</v>
      </c>
      <c r="L393">
        <v>19.5</v>
      </c>
      <c r="M393" t="s">
        <v>19</v>
      </c>
      <c r="N393" s="7">
        <v>44938</v>
      </c>
      <c r="O393" t="str" cm="1">
        <f t="array" ref="O393">_xlfn.IFS(tbl_loans_clean[[#This Row],[Credit_Score]]&lt;650,"580-649",tbl_loans_clean[[#This Row],[Credit_Score]]&lt;700,"650-699",tbl_loans_clean[[#This Row],[Credit_Score]]&lt;750,"700-749",TRUE,"750+")</f>
        <v>750+</v>
      </c>
    </row>
    <row r="394" spans="1:15" x14ac:dyDescent="0.35">
      <c r="A394" t="s">
        <v>345</v>
      </c>
      <c r="B394" t="s">
        <v>28</v>
      </c>
      <c r="C394" t="s">
        <v>34</v>
      </c>
      <c r="D394" t="s">
        <v>17</v>
      </c>
      <c r="E394">
        <v>373266</v>
      </c>
      <c r="F394">
        <v>10.98</v>
      </c>
      <c r="G394">
        <v>300</v>
      </c>
      <c r="H394">
        <v>164587</v>
      </c>
      <c r="I394">
        <v>741</v>
      </c>
      <c r="J394" t="s">
        <v>18</v>
      </c>
      <c r="K394">
        <v>17.8</v>
      </c>
      <c r="L394">
        <v>38.4</v>
      </c>
      <c r="M394" t="s">
        <v>23</v>
      </c>
      <c r="N394" s="7">
        <v>44940</v>
      </c>
      <c r="O394" t="str" cm="1">
        <f t="array" ref="O394">_xlfn.IFS(tbl_loans_clean[[#This Row],[Credit_Score]]&lt;650,"580-649",tbl_loans_clean[[#This Row],[Credit_Score]]&lt;700,"650-699",tbl_loans_clean[[#This Row],[Credit_Score]]&lt;750,"700-749",TRUE,"750+")</f>
        <v>700-749</v>
      </c>
    </row>
    <row r="395" spans="1:15" x14ac:dyDescent="0.35">
      <c r="A395" t="s">
        <v>340</v>
      </c>
      <c r="B395" t="s">
        <v>28</v>
      </c>
      <c r="C395" t="s">
        <v>16</v>
      </c>
      <c r="D395" t="s">
        <v>17</v>
      </c>
      <c r="E395">
        <v>739983</v>
      </c>
      <c r="F395">
        <v>12.16</v>
      </c>
      <c r="G395">
        <v>48</v>
      </c>
      <c r="H395">
        <v>99042</v>
      </c>
      <c r="I395">
        <v>625</v>
      </c>
      <c r="J395" t="s">
        <v>18</v>
      </c>
      <c r="K395">
        <v>8.4</v>
      </c>
      <c r="L395">
        <v>21.2</v>
      </c>
      <c r="M395" t="s">
        <v>19</v>
      </c>
      <c r="N395" s="7">
        <v>44941</v>
      </c>
      <c r="O395" t="str" cm="1">
        <f t="array" ref="O395">_xlfn.IFS(tbl_loans_clean[[#This Row],[Credit_Score]]&lt;650,"580-649",tbl_loans_clean[[#This Row],[Credit_Score]]&lt;700,"650-699",tbl_loans_clean[[#This Row],[Credit_Score]]&lt;750,"700-749",TRUE,"750+")</f>
        <v>580-649</v>
      </c>
    </row>
    <row r="396" spans="1:15" x14ac:dyDescent="0.35">
      <c r="A396" t="s">
        <v>416</v>
      </c>
      <c r="B396" t="s">
        <v>30</v>
      </c>
      <c r="C396" t="s">
        <v>16</v>
      </c>
      <c r="D396" t="s">
        <v>17</v>
      </c>
      <c r="E396">
        <v>711528</v>
      </c>
      <c r="F396">
        <v>13.25</v>
      </c>
      <c r="G396">
        <v>240</v>
      </c>
      <c r="H396">
        <v>90712</v>
      </c>
      <c r="I396">
        <v>807</v>
      </c>
      <c r="J396" t="s">
        <v>26</v>
      </c>
      <c r="K396">
        <v>20.2</v>
      </c>
      <c r="L396">
        <v>12</v>
      </c>
      <c r="M396" t="s">
        <v>23</v>
      </c>
      <c r="N396" s="7">
        <v>44942</v>
      </c>
      <c r="O396" t="str" cm="1">
        <f t="array" ref="O396">_xlfn.IFS(tbl_loans_clean[[#This Row],[Credit_Score]]&lt;650,"580-649",tbl_loans_clean[[#This Row],[Credit_Score]]&lt;700,"650-699",tbl_loans_clean[[#This Row],[Credit_Score]]&lt;750,"700-749",TRUE,"750+")</f>
        <v>750+</v>
      </c>
    </row>
    <row r="397" spans="1:15" x14ac:dyDescent="0.35">
      <c r="A397" t="s">
        <v>584</v>
      </c>
      <c r="B397" t="s">
        <v>30</v>
      </c>
      <c r="C397" t="s">
        <v>34</v>
      </c>
      <c r="D397" t="s">
        <v>38</v>
      </c>
      <c r="E397">
        <v>150051</v>
      </c>
      <c r="F397">
        <v>12.78</v>
      </c>
      <c r="G397">
        <v>120</v>
      </c>
      <c r="H397">
        <v>165263</v>
      </c>
      <c r="I397">
        <v>794</v>
      </c>
      <c r="J397" t="s">
        <v>18</v>
      </c>
      <c r="K397">
        <v>11.7</v>
      </c>
      <c r="L397">
        <v>12.7</v>
      </c>
      <c r="M397" t="s">
        <v>19</v>
      </c>
      <c r="N397" s="7">
        <v>44945</v>
      </c>
      <c r="O397" t="str" cm="1">
        <f t="array" ref="O397">_xlfn.IFS(tbl_loans_clean[[#This Row],[Credit_Score]]&lt;650,"580-649",tbl_loans_clean[[#This Row],[Credit_Score]]&lt;700,"650-699",tbl_loans_clean[[#This Row],[Credit_Score]]&lt;750,"700-749",TRUE,"750+")</f>
        <v>750+</v>
      </c>
    </row>
    <row r="398" spans="1:15" x14ac:dyDescent="0.35">
      <c r="A398" t="s">
        <v>606</v>
      </c>
      <c r="B398" t="s">
        <v>30</v>
      </c>
      <c r="C398" t="s">
        <v>16</v>
      </c>
      <c r="D398" t="s">
        <v>32</v>
      </c>
      <c r="E398">
        <v>301208</v>
      </c>
      <c r="F398">
        <v>6.35</v>
      </c>
      <c r="G398">
        <v>300</v>
      </c>
      <c r="H398">
        <v>101870</v>
      </c>
      <c r="I398">
        <v>830</v>
      </c>
      <c r="J398" t="s">
        <v>18</v>
      </c>
      <c r="K398">
        <v>5.9</v>
      </c>
      <c r="L398">
        <v>20.8</v>
      </c>
      <c r="M398" t="s">
        <v>19</v>
      </c>
      <c r="N398" s="7">
        <v>44950</v>
      </c>
      <c r="O398" t="str" cm="1">
        <f t="array" ref="O398">_xlfn.IFS(tbl_loans_clean[[#This Row],[Credit_Score]]&lt;650,"580-649",tbl_loans_clean[[#This Row],[Credit_Score]]&lt;700,"650-699",tbl_loans_clean[[#This Row],[Credit_Score]]&lt;750,"700-749",TRUE,"750+")</f>
        <v>750+</v>
      </c>
    </row>
    <row r="399" spans="1:15" x14ac:dyDescent="0.35">
      <c r="A399" t="s">
        <v>662</v>
      </c>
      <c r="B399" t="s">
        <v>30</v>
      </c>
      <c r="C399" t="s">
        <v>22</v>
      </c>
      <c r="D399" t="s">
        <v>38</v>
      </c>
      <c r="E399">
        <v>8696</v>
      </c>
      <c r="F399">
        <v>8.33</v>
      </c>
      <c r="G399">
        <v>120</v>
      </c>
      <c r="H399">
        <v>28731</v>
      </c>
      <c r="I399">
        <v>589</v>
      </c>
      <c r="J399" t="s">
        <v>18</v>
      </c>
      <c r="K399">
        <v>15.5</v>
      </c>
      <c r="L399">
        <v>43.3</v>
      </c>
      <c r="M399" t="s">
        <v>23</v>
      </c>
      <c r="N399" s="7">
        <v>44951</v>
      </c>
      <c r="O399" t="str" cm="1">
        <f t="array" ref="O399">_xlfn.IFS(tbl_loans_clean[[#This Row],[Credit_Score]]&lt;650,"580-649",tbl_loans_clean[[#This Row],[Credit_Score]]&lt;700,"650-699",tbl_loans_clean[[#This Row],[Credit_Score]]&lt;750,"700-749",TRUE,"750+")</f>
        <v>580-649</v>
      </c>
    </row>
    <row r="400" spans="1:15" x14ac:dyDescent="0.35">
      <c r="A400" t="s">
        <v>612</v>
      </c>
      <c r="B400" t="s">
        <v>15</v>
      </c>
      <c r="C400" t="s">
        <v>34</v>
      </c>
      <c r="D400" t="s">
        <v>45</v>
      </c>
      <c r="E400">
        <v>605541</v>
      </c>
      <c r="F400">
        <v>6.1</v>
      </c>
      <c r="G400">
        <v>36</v>
      </c>
      <c r="H400">
        <v>94323</v>
      </c>
      <c r="I400">
        <v>729</v>
      </c>
      <c r="J400" t="s">
        <v>39</v>
      </c>
      <c r="K400">
        <v>24.4</v>
      </c>
      <c r="L400">
        <v>14.3</v>
      </c>
      <c r="M400" t="s">
        <v>23</v>
      </c>
      <c r="N400" s="7">
        <v>44953</v>
      </c>
      <c r="O400" t="str" cm="1">
        <f t="array" ref="O400">_xlfn.IFS(tbl_loans_clean[[#This Row],[Credit_Score]]&lt;650,"580-649",tbl_loans_clean[[#This Row],[Credit_Score]]&lt;700,"650-699",tbl_loans_clean[[#This Row],[Credit_Score]]&lt;750,"700-749",TRUE,"750+")</f>
        <v>700-749</v>
      </c>
    </row>
    <row r="401" spans="1:15" x14ac:dyDescent="0.35">
      <c r="A401" t="s">
        <v>580</v>
      </c>
      <c r="B401" t="s">
        <v>15</v>
      </c>
      <c r="C401" t="s">
        <v>22</v>
      </c>
      <c r="D401" t="s">
        <v>17</v>
      </c>
      <c r="E401">
        <v>470226</v>
      </c>
      <c r="F401">
        <v>13.34</v>
      </c>
      <c r="G401">
        <v>240</v>
      </c>
      <c r="H401">
        <v>118456</v>
      </c>
      <c r="I401">
        <v>662</v>
      </c>
      <c r="J401" t="s">
        <v>18</v>
      </c>
      <c r="K401">
        <v>20.6</v>
      </c>
      <c r="L401">
        <v>15.7</v>
      </c>
      <c r="M401" t="s">
        <v>19</v>
      </c>
      <c r="N401" s="7">
        <v>44954</v>
      </c>
      <c r="O401" t="str" cm="1">
        <f t="array" ref="O401">_xlfn.IFS(tbl_loans_clean[[#This Row],[Credit_Score]]&lt;650,"580-649",tbl_loans_clean[[#This Row],[Credit_Score]]&lt;700,"650-699",tbl_loans_clean[[#This Row],[Credit_Score]]&lt;750,"700-749",TRUE,"750+")</f>
        <v>650-699</v>
      </c>
    </row>
    <row r="402" spans="1:15" x14ac:dyDescent="0.35">
      <c r="A402" t="s">
        <v>717</v>
      </c>
      <c r="B402" t="s">
        <v>110</v>
      </c>
      <c r="C402" t="s">
        <v>16</v>
      </c>
      <c r="D402" t="s">
        <v>45</v>
      </c>
      <c r="E402">
        <v>178423</v>
      </c>
      <c r="F402">
        <v>13.47</v>
      </c>
      <c r="G402">
        <v>120</v>
      </c>
      <c r="H402">
        <v>203486</v>
      </c>
      <c r="I402">
        <v>634</v>
      </c>
      <c r="J402" t="s">
        <v>18</v>
      </c>
      <c r="K402">
        <v>16.2</v>
      </c>
      <c r="L402">
        <v>25</v>
      </c>
      <c r="M402" t="s">
        <v>19</v>
      </c>
      <c r="N402" s="7">
        <v>44956</v>
      </c>
      <c r="O402" t="str" cm="1">
        <f t="array" ref="O402">_xlfn.IFS(tbl_loans_clean[[#This Row],[Credit_Score]]&lt;650,"580-649",tbl_loans_clean[[#This Row],[Credit_Score]]&lt;700,"650-699",tbl_loans_clean[[#This Row],[Credit_Score]]&lt;750,"700-749",TRUE,"750+")</f>
        <v>580-649</v>
      </c>
    </row>
    <row r="403" spans="1:15" x14ac:dyDescent="0.35">
      <c r="A403" t="s">
        <v>179</v>
      </c>
      <c r="B403" t="s">
        <v>15</v>
      </c>
      <c r="C403" t="s">
        <v>22</v>
      </c>
      <c r="D403" t="s">
        <v>17</v>
      </c>
      <c r="E403">
        <v>729698</v>
      </c>
      <c r="F403">
        <v>6.12</v>
      </c>
      <c r="G403">
        <v>60</v>
      </c>
      <c r="H403">
        <v>42693</v>
      </c>
      <c r="I403">
        <v>698</v>
      </c>
      <c r="J403" t="s">
        <v>18</v>
      </c>
      <c r="K403">
        <v>2.2000000000000002</v>
      </c>
      <c r="L403">
        <v>30.4</v>
      </c>
      <c r="M403" t="s">
        <v>19</v>
      </c>
      <c r="N403" s="7">
        <v>44957</v>
      </c>
      <c r="O403" t="str" cm="1">
        <f t="array" ref="O403">_xlfn.IFS(tbl_loans_clean[[#This Row],[Credit_Score]]&lt;650,"580-649",tbl_loans_clean[[#This Row],[Credit_Score]]&lt;700,"650-699",tbl_loans_clean[[#This Row],[Credit_Score]]&lt;750,"700-749",TRUE,"750+")</f>
        <v>650-699</v>
      </c>
    </row>
    <row r="404" spans="1:15" x14ac:dyDescent="0.35">
      <c r="A404" t="s">
        <v>247</v>
      </c>
      <c r="B404" t="s">
        <v>30</v>
      </c>
      <c r="C404" t="s">
        <v>16</v>
      </c>
      <c r="D404" t="s">
        <v>45</v>
      </c>
      <c r="E404">
        <v>26281</v>
      </c>
      <c r="F404">
        <v>5</v>
      </c>
      <c r="G404">
        <v>300</v>
      </c>
      <c r="H404">
        <v>123761</v>
      </c>
      <c r="I404">
        <v>716</v>
      </c>
      <c r="J404" t="s">
        <v>35</v>
      </c>
      <c r="K404">
        <v>1</v>
      </c>
      <c r="L404">
        <v>36.799999999999997</v>
      </c>
      <c r="M404" t="s">
        <v>23</v>
      </c>
      <c r="N404" s="7">
        <v>44958</v>
      </c>
      <c r="O404" t="str" cm="1">
        <f t="array" ref="O404">_xlfn.IFS(tbl_loans_clean[[#This Row],[Credit_Score]]&lt;650,"580-649",tbl_loans_clean[[#This Row],[Credit_Score]]&lt;700,"650-699",tbl_loans_clean[[#This Row],[Credit_Score]]&lt;750,"700-749",TRUE,"750+")</f>
        <v>700-749</v>
      </c>
    </row>
    <row r="405" spans="1:15" x14ac:dyDescent="0.35">
      <c r="A405" t="s">
        <v>343</v>
      </c>
      <c r="B405" t="s">
        <v>15</v>
      </c>
      <c r="C405" t="s">
        <v>34</v>
      </c>
      <c r="D405" t="s">
        <v>17</v>
      </c>
      <c r="E405">
        <v>85811</v>
      </c>
      <c r="F405">
        <v>9.5399999999999991</v>
      </c>
      <c r="G405">
        <v>36</v>
      </c>
      <c r="H405">
        <v>118140</v>
      </c>
      <c r="I405">
        <v>679</v>
      </c>
      <c r="J405" t="s">
        <v>26</v>
      </c>
      <c r="K405">
        <v>0.2</v>
      </c>
      <c r="L405">
        <v>29.8</v>
      </c>
      <c r="M405" t="s">
        <v>48</v>
      </c>
      <c r="N405" s="7">
        <v>44958</v>
      </c>
      <c r="O405" t="str" cm="1">
        <f t="array" ref="O405">_xlfn.IFS(tbl_loans_clean[[#This Row],[Credit_Score]]&lt;650,"580-649",tbl_loans_clean[[#This Row],[Credit_Score]]&lt;700,"650-699",tbl_loans_clean[[#This Row],[Credit_Score]]&lt;750,"700-749",TRUE,"750+")</f>
        <v>650-699</v>
      </c>
    </row>
    <row r="406" spans="1:15" x14ac:dyDescent="0.35">
      <c r="A406" t="s">
        <v>433</v>
      </c>
      <c r="B406" t="s">
        <v>15</v>
      </c>
      <c r="C406" t="s">
        <v>16</v>
      </c>
      <c r="D406" t="s">
        <v>17</v>
      </c>
      <c r="E406">
        <v>321480</v>
      </c>
      <c r="F406">
        <v>7.53</v>
      </c>
      <c r="G406">
        <v>36</v>
      </c>
      <c r="H406">
        <v>208718</v>
      </c>
      <c r="I406">
        <v>768</v>
      </c>
      <c r="J406" t="s">
        <v>18</v>
      </c>
      <c r="K406">
        <v>22.4</v>
      </c>
      <c r="L406">
        <v>33.799999999999997</v>
      </c>
      <c r="M406" t="s">
        <v>23</v>
      </c>
      <c r="N406" s="7">
        <v>44958</v>
      </c>
      <c r="O406" t="str" cm="1">
        <f t="array" ref="O406">_xlfn.IFS(tbl_loans_clean[[#This Row],[Credit_Score]]&lt;650,"580-649",tbl_loans_clean[[#This Row],[Credit_Score]]&lt;700,"650-699",tbl_loans_clean[[#This Row],[Credit_Score]]&lt;750,"700-749",TRUE,"750+")</f>
        <v>750+</v>
      </c>
    </row>
    <row r="407" spans="1:15" x14ac:dyDescent="0.35">
      <c r="A407" t="s">
        <v>738</v>
      </c>
      <c r="B407" t="s">
        <v>30</v>
      </c>
      <c r="C407" t="s">
        <v>16</v>
      </c>
      <c r="D407" t="s">
        <v>17</v>
      </c>
      <c r="E407">
        <v>67433</v>
      </c>
      <c r="F407">
        <v>3.77</v>
      </c>
      <c r="G407">
        <v>24</v>
      </c>
      <c r="H407">
        <v>174312</v>
      </c>
      <c r="I407">
        <v>660</v>
      </c>
      <c r="J407" t="s">
        <v>26</v>
      </c>
      <c r="K407">
        <v>22.1</v>
      </c>
      <c r="L407">
        <v>20.100000000000001</v>
      </c>
      <c r="M407" t="s">
        <v>23</v>
      </c>
      <c r="N407" s="7">
        <v>44958</v>
      </c>
      <c r="O407" t="str" cm="1">
        <f t="array" ref="O407">_xlfn.IFS(tbl_loans_clean[[#This Row],[Credit_Score]]&lt;650,"580-649",tbl_loans_clean[[#This Row],[Credit_Score]]&lt;700,"650-699",tbl_loans_clean[[#This Row],[Credit_Score]]&lt;750,"700-749",TRUE,"750+")</f>
        <v>650-699</v>
      </c>
    </row>
    <row r="408" spans="1:15" x14ac:dyDescent="0.35">
      <c r="A408" t="s">
        <v>342</v>
      </c>
      <c r="B408" t="s">
        <v>30</v>
      </c>
      <c r="C408" t="s">
        <v>22</v>
      </c>
      <c r="D408" t="s">
        <v>32</v>
      </c>
      <c r="E408">
        <v>171277</v>
      </c>
      <c r="F408">
        <v>8.56</v>
      </c>
      <c r="G408">
        <v>12</v>
      </c>
      <c r="H408">
        <v>128699</v>
      </c>
      <c r="I408">
        <v>847</v>
      </c>
      <c r="J408" t="s">
        <v>18</v>
      </c>
      <c r="K408">
        <v>14.6</v>
      </c>
      <c r="L408">
        <v>27.9</v>
      </c>
      <c r="M408" t="s">
        <v>23</v>
      </c>
      <c r="N408" s="7">
        <v>44959</v>
      </c>
      <c r="O408" t="str" cm="1">
        <f t="array" ref="O408">_xlfn.IFS(tbl_loans_clean[[#This Row],[Credit_Score]]&lt;650,"580-649",tbl_loans_clean[[#This Row],[Credit_Score]]&lt;700,"650-699",tbl_loans_clean[[#This Row],[Credit_Score]]&lt;750,"700-749",TRUE,"750+")</f>
        <v>750+</v>
      </c>
    </row>
    <row r="409" spans="1:15" x14ac:dyDescent="0.35">
      <c r="A409" t="s">
        <v>484</v>
      </c>
      <c r="B409" t="s">
        <v>15</v>
      </c>
      <c r="C409" t="s">
        <v>16</v>
      </c>
      <c r="D409" t="s">
        <v>32</v>
      </c>
      <c r="E409">
        <v>34336</v>
      </c>
      <c r="F409">
        <v>5.93</v>
      </c>
      <c r="G409">
        <v>48</v>
      </c>
      <c r="H409">
        <v>70422</v>
      </c>
      <c r="I409">
        <v>592</v>
      </c>
      <c r="J409" t="s">
        <v>18</v>
      </c>
      <c r="K409">
        <v>14</v>
      </c>
      <c r="L409">
        <v>42.4</v>
      </c>
      <c r="M409" t="s">
        <v>19</v>
      </c>
      <c r="N409" s="7">
        <v>44960</v>
      </c>
      <c r="O409" t="str" cm="1">
        <f t="array" ref="O409">_xlfn.IFS(tbl_loans_clean[[#This Row],[Credit_Score]]&lt;650,"580-649",tbl_loans_clean[[#This Row],[Credit_Score]]&lt;700,"650-699",tbl_loans_clean[[#This Row],[Credit_Score]]&lt;750,"700-749",TRUE,"750+")</f>
        <v>580-649</v>
      </c>
    </row>
    <row r="410" spans="1:15" x14ac:dyDescent="0.35">
      <c r="A410" t="s">
        <v>574</v>
      </c>
      <c r="B410" t="s">
        <v>303</v>
      </c>
      <c r="C410" t="s">
        <v>22</v>
      </c>
      <c r="D410" t="s">
        <v>32</v>
      </c>
      <c r="E410">
        <v>442470</v>
      </c>
      <c r="F410">
        <v>5.42</v>
      </c>
      <c r="G410">
        <v>24</v>
      </c>
      <c r="H410">
        <v>111791</v>
      </c>
      <c r="I410">
        <v>653</v>
      </c>
      <c r="J410" t="s">
        <v>18</v>
      </c>
      <c r="K410">
        <v>18.2</v>
      </c>
      <c r="L410">
        <v>29.4</v>
      </c>
      <c r="M410" t="s">
        <v>23</v>
      </c>
      <c r="N410" s="7">
        <v>44961</v>
      </c>
      <c r="O410" t="str" cm="1">
        <f t="array" ref="O410">_xlfn.IFS(tbl_loans_clean[[#This Row],[Credit_Score]]&lt;650,"580-649",tbl_loans_clean[[#This Row],[Credit_Score]]&lt;700,"650-699",tbl_loans_clean[[#This Row],[Credit_Score]]&lt;750,"700-749",TRUE,"750+")</f>
        <v>650-699</v>
      </c>
    </row>
    <row r="411" spans="1:15" x14ac:dyDescent="0.35">
      <c r="A411" t="s">
        <v>418</v>
      </c>
      <c r="B411" t="s">
        <v>25</v>
      </c>
      <c r="C411" t="s">
        <v>16</v>
      </c>
      <c r="D411" t="s">
        <v>17</v>
      </c>
      <c r="E411">
        <v>343540</v>
      </c>
      <c r="F411">
        <v>10.35</v>
      </c>
      <c r="G411">
        <v>300</v>
      </c>
      <c r="H411">
        <v>153849</v>
      </c>
      <c r="I411">
        <v>791</v>
      </c>
      <c r="J411" t="s">
        <v>18</v>
      </c>
      <c r="K411">
        <v>13.9</v>
      </c>
      <c r="L411">
        <v>34.5</v>
      </c>
      <c r="M411" t="s">
        <v>19</v>
      </c>
      <c r="N411" s="7">
        <v>44962</v>
      </c>
      <c r="O411" t="str" cm="1">
        <f t="array" ref="O411">_xlfn.IFS(tbl_loans_clean[[#This Row],[Credit_Score]]&lt;650,"580-649",tbl_loans_clean[[#This Row],[Credit_Score]]&lt;700,"650-699",tbl_loans_clean[[#This Row],[Credit_Score]]&lt;750,"700-749",TRUE,"750+")</f>
        <v>750+</v>
      </c>
    </row>
    <row r="412" spans="1:15" x14ac:dyDescent="0.35">
      <c r="A412" t="s">
        <v>809</v>
      </c>
      <c r="B412" t="s">
        <v>37</v>
      </c>
      <c r="C412" t="s">
        <v>22</v>
      </c>
      <c r="D412" t="s">
        <v>32</v>
      </c>
      <c r="E412">
        <v>300064</v>
      </c>
      <c r="F412">
        <v>8.8699999999999992</v>
      </c>
      <c r="G412">
        <v>120</v>
      </c>
      <c r="H412">
        <v>44374</v>
      </c>
      <c r="I412">
        <v>687</v>
      </c>
      <c r="J412" t="s">
        <v>18</v>
      </c>
      <c r="K412">
        <v>18.7</v>
      </c>
      <c r="L412">
        <v>30.7</v>
      </c>
      <c r="M412" t="s">
        <v>23</v>
      </c>
      <c r="N412" s="7">
        <v>44965</v>
      </c>
      <c r="O412" t="str" cm="1">
        <f t="array" ref="O412">_xlfn.IFS(tbl_loans_clean[[#This Row],[Credit_Score]]&lt;650,"580-649",tbl_loans_clean[[#This Row],[Credit_Score]]&lt;700,"650-699",tbl_loans_clean[[#This Row],[Credit_Score]]&lt;750,"700-749",TRUE,"750+")</f>
        <v>650-699</v>
      </c>
    </row>
    <row r="413" spans="1:15" x14ac:dyDescent="0.35">
      <c r="A413" t="s">
        <v>750</v>
      </c>
      <c r="B413" t="s">
        <v>30</v>
      </c>
      <c r="C413" t="s">
        <v>16</v>
      </c>
      <c r="D413" t="s">
        <v>17</v>
      </c>
      <c r="E413">
        <v>717509</v>
      </c>
      <c r="F413">
        <v>10.07</v>
      </c>
      <c r="G413">
        <v>48</v>
      </c>
      <c r="H413">
        <v>96694</v>
      </c>
      <c r="I413">
        <v>636</v>
      </c>
      <c r="J413" t="s">
        <v>18</v>
      </c>
      <c r="K413">
        <v>13.3</v>
      </c>
      <c r="L413">
        <v>32.6</v>
      </c>
      <c r="M413" t="s">
        <v>23</v>
      </c>
      <c r="N413" s="7">
        <v>44966</v>
      </c>
      <c r="O413" t="str" cm="1">
        <f t="array" ref="O413">_xlfn.IFS(tbl_loans_clean[[#This Row],[Credit_Score]]&lt;650,"580-649",tbl_loans_clean[[#This Row],[Credit_Score]]&lt;700,"650-699",tbl_loans_clean[[#This Row],[Credit_Score]]&lt;750,"700-749",TRUE,"750+")</f>
        <v>580-649</v>
      </c>
    </row>
    <row r="414" spans="1:15" x14ac:dyDescent="0.35">
      <c r="A414" t="s">
        <v>813</v>
      </c>
      <c r="B414" t="s">
        <v>25</v>
      </c>
      <c r="C414" t="s">
        <v>22</v>
      </c>
      <c r="D414" t="s">
        <v>43</v>
      </c>
      <c r="E414">
        <v>606891</v>
      </c>
      <c r="F414">
        <v>11.69</v>
      </c>
      <c r="G414">
        <v>60</v>
      </c>
      <c r="H414">
        <v>151800</v>
      </c>
      <c r="I414">
        <v>687</v>
      </c>
      <c r="J414" t="s">
        <v>18</v>
      </c>
      <c r="K414">
        <v>19.8</v>
      </c>
      <c r="L414">
        <v>37.1</v>
      </c>
      <c r="M414" t="s">
        <v>55</v>
      </c>
      <c r="N414" s="7">
        <v>44968</v>
      </c>
      <c r="O414" t="str" cm="1">
        <f t="array" ref="O414">_xlfn.IFS(tbl_loans_clean[[#This Row],[Credit_Score]]&lt;650,"580-649",tbl_loans_clean[[#This Row],[Credit_Score]]&lt;700,"650-699",tbl_loans_clean[[#This Row],[Credit_Score]]&lt;750,"700-749",TRUE,"750+")</f>
        <v>650-699</v>
      </c>
    </row>
    <row r="415" spans="1:15" x14ac:dyDescent="0.35">
      <c r="A415" t="s">
        <v>449</v>
      </c>
      <c r="B415" t="s">
        <v>30</v>
      </c>
      <c r="C415" t="s">
        <v>22</v>
      </c>
      <c r="D415" t="s">
        <v>38</v>
      </c>
      <c r="E415">
        <v>179037</v>
      </c>
      <c r="F415">
        <v>10.68</v>
      </c>
      <c r="G415">
        <v>48</v>
      </c>
      <c r="H415">
        <v>49042</v>
      </c>
      <c r="I415">
        <v>799</v>
      </c>
      <c r="J415" t="s">
        <v>18</v>
      </c>
      <c r="K415">
        <v>7.4</v>
      </c>
      <c r="L415">
        <v>18.3</v>
      </c>
      <c r="M415" t="s">
        <v>19</v>
      </c>
      <c r="N415" s="7">
        <v>44972</v>
      </c>
      <c r="O415" t="str" cm="1">
        <f t="array" ref="O415">_xlfn.IFS(tbl_loans_clean[[#This Row],[Credit_Score]]&lt;650,"580-649",tbl_loans_clean[[#This Row],[Credit_Score]]&lt;700,"650-699",tbl_loans_clean[[#This Row],[Credit_Score]]&lt;750,"700-749",TRUE,"750+")</f>
        <v>750+</v>
      </c>
    </row>
    <row r="416" spans="1:15" x14ac:dyDescent="0.35">
      <c r="A416" t="s">
        <v>630</v>
      </c>
      <c r="B416" t="s">
        <v>30</v>
      </c>
      <c r="C416" t="s">
        <v>34</v>
      </c>
      <c r="D416" t="s">
        <v>38</v>
      </c>
      <c r="E416">
        <v>286854</v>
      </c>
      <c r="F416">
        <v>4.83</v>
      </c>
      <c r="G416">
        <v>12</v>
      </c>
      <c r="H416">
        <v>39772</v>
      </c>
      <c r="I416">
        <v>774</v>
      </c>
      <c r="J416" t="s">
        <v>18</v>
      </c>
      <c r="K416">
        <v>22.9</v>
      </c>
      <c r="L416">
        <v>26</v>
      </c>
      <c r="M416" t="s">
        <v>23</v>
      </c>
      <c r="N416" s="7">
        <v>44973</v>
      </c>
      <c r="O416" t="str" cm="1">
        <f t="array" ref="O416">_xlfn.IFS(tbl_loans_clean[[#This Row],[Credit_Score]]&lt;650,"580-649",tbl_loans_clean[[#This Row],[Credit_Score]]&lt;700,"650-699",tbl_loans_clean[[#This Row],[Credit_Score]]&lt;750,"700-749",TRUE,"750+")</f>
        <v>750+</v>
      </c>
    </row>
    <row r="417" spans="1:15" x14ac:dyDescent="0.35">
      <c r="A417" t="s">
        <v>422</v>
      </c>
      <c r="B417" t="s">
        <v>30</v>
      </c>
      <c r="C417" t="s">
        <v>34</v>
      </c>
      <c r="D417" t="s">
        <v>17</v>
      </c>
      <c r="E417">
        <v>586793</v>
      </c>
      <c r="F417">
        <v>6.26</v>
      </c>
      <c r="G417">
        <v>48</v>
      </c>
      <c r="H417">
        <v>112573</v>
      </c>
      <c r="I417">
        <v>593</v>
      </c>
      <c r="J417" t="s">
        <v>26</v>
      </c>
      <c r="K417">
        <v>16.600000000000001</v>
      </c>
      <c r="L417">
        <v>15.7</v>
      </c>
      <c r="M417" t="s">
        <v>19</v>
      </c>
      <c r="N417" s="7">
        <v>44976</v>
      </c>
      <c r="O417" t="str" cm="1">
        <f t="array" ref="O417">_xlfn.IFS(tbl_loans_clean[[#This Row],[Credit_Score]]&lt;650,"580-649",tbl_loans_clean[[#This Row],[Credit_Score]]&lt;700,"650-699",tbl_loans_clean[[#This Row],[Credit_Score]]&lt;750,"700-749",TRUE,"750+")</f>
        <v>580-649</v>
      </c>
    </row>
    <row r="418" spans="1:15" x14ac:dyDescent="0.35">
      <c r="A418" t="s">
        <v>53</v>
      </c>
      <c r="B418" t="s">
        <v>15</v>
      </c>
      <c r="C418" t="s">
        <v>22</v>
      </c>
      <c r="D418" t="s">
        <v>45</v>
      </c>
      <c r="E418">
        <v>680159</v>
      </c>
      <c r="F418">
        <v>12.43</v>
      </c>
      <c r="G418">
        <v>36</v>
      </c>
      <c r="H418">
        <v>78733</v>
      </c>
      <c r="I418">
        <v>676</v>
      </c>
      <c r="J418" t="s">
        <v>18</v>
      </c>
      <c r="K418">
        <v>16</v>
      </c>
      <c r="L418">
        <v>15.3</v>
      </c>
      <c r="M418" t="s">
        <v>23</v>
      </c>
      <c r="N418" s="7">
        <v>44979</v>
      </c>
      <c r="O418" t="str" cm="1">
        <f t="array" ref="O418">_xlfn.IFS(tbl_loans_clean[[#This Row],[Credit_Score]]&lt;650,"580-649",tbl_loans_clean[[#This Row],[Credit_Score]]&lt;700,"650-699",tbl_loans_clean[[#This Row],[Credit_Score]]&lt;750,"700-749",TRUE,"750+")</f>
        <v>650-699</v>
      </c>
    </row>
    <row r="419" spans="1:15" x14ac:dyDescent="0.35">
      <c r="A419" t="s">
        <v>499</v>
      </c>
      <c r="B419" t="s">
        <v>15</v>
      </c>
      <c r="C419" t="s">
        <v>22</v>
      </c>
      <c r="D419" t="s">
        <v>32</v>
      </c>
      <c r="E419">
        <v>384039</v>
      </c>
      <c r="F419">
        <v>3.64</v>
      </c>
      <c r="G419">
        <v>60</v>
      </c>
      <c r="H419">
        <v>160447</v>
      </c>
      <c r="I419">
        <v>838</v>
      </c>
      <c r="J419" t="s">
        <v>18</v>
      </c>
      <c r="K419">
        <v>22.6</v>
      </c>
      <c r="L419">
        <v>45.2</v>
      </c>
      <c r="M419" t="s">
        <v>23</v>
      </c>
      <c r="N419" s="7">
        <v>44979</v>
      </c>
      <c r="O419" t="str" cm="1">
        <f t="array" ref="O419">_xlfn.IFS(tbl_loans_clean[[#This Row],[Credit_Score]]&lt;650,"580-649",tbl_loans_clean[[#This Row],[Credit_Score]]&lt;700,"650-699",tbl_loans_clean[[#This Row],[Credit_Score]]&lt;750,"700-749",TRUE,"750+")</f>
        <v>750+</v>
      </c>
    </row>
    <row r="420" spans="1:15" x14ac:dyDescent="0.35">
      <c r="A420" t="s">
        <v>526</v>
      </c>
      <c r="B420" t="s">
        <v>15</v>
      </c>
      <c r="C420" t="s">
        <v>22</v>
      </c>
      <c r="D420" t="s">
        <v>32</v>
      </c>
      <c r="E420">
        <v>316573</v>
      </c>
      <c r="F420">
        <v>8.34</v>
      </c>
      <c r="G420">
        <v>300</v>
      </c>
      <c r="H420">
        <v>76940</v>
      </c>
      <c r="I420">
        <v>842</v>
      </c>
      <c r="J420" t="s">
        <v>26</v>
      </c>
      <c r="K420">
        <v>23.6</v>
      </c>
      <c r="L420">
        <v>39.6</v>
      </c>
      <c r="M420" t="s">
        <v>48</v>
      </c>
      <c r="N420" s="7">
        <v>44980</v>
      </c>
      <c r="O420" t="str" cm="1">
        <f t="array" ref="O420">_xlfn.IFS(tbl_loans_clean[[#This Row],[Credit_Score]]&lt;650,"580-649",tbl_loans_clean[[#This Row],[Credit_Score]]&lt;700,"650-699",tbl_loans_clean[[#This Row],[Credit_Score]]&lt;750,"700-749",TRUE,"750+")</f>
        <v>750+</v>
      </c>
    </row>
    <row r="421" spans="1:15" x14ac:dyDescent="0.35">
      <c r="A421" t="s">
        <v>530</v>
      </c>
      <c r="B421" t="s">
        <v>21</v>
      </c>
      <c r="C421" t="s">
        <v>22</v>
      </c>
      <c r="D421" t="s">
        <v>43</v>
      </c>
      <c r="E421">
        <v>143731</v>
      </c>
      <c r="F421">
        <v>13.84</v>
      </c>
      <c r="G421">
        <v>48</v>
      </c>
      <c r="H421">
        <v>171093</v>
      </c>
      <c r="I421">
        <v>819</v>
      </c>
      <c r="J421" t="s">
        <v>18</v>
      </c>
      <c r="K421">
        <v>4.3</v>
      </c>
      <c r="L421">
        <v>15.7</v>
      </c>
      <c r="M421" t="s">
        <v>55</v>
      </c>
      <c r="N421" s="7">
        <v>44981</v>
      </c>
      <c r="O421" t="str" cm="1">
        <f t="array" ref="O421">_xlfn.IFS(tbl_loans_clean[[#This Row],[Credit_Score]]&lt;650,"580-649",tbl_loans_clean[[#This Row],[Credit_Score]]&lt;700,"650-699",tbl_loans_clean[[#This Row],[Credit_Score]]&lt;750,"700-749",TRUE,"750+")</f>
        <v>750+</v>
      </c>
    </row>
    <row r="422" spans="1:15" x14ac:dyDescent="0.35">
      <c r="A422" t="s">
        <v>325</v>
      </c>
      <c r="B422" t="s">
        <v>30</v>
      </c>
      <c r="C422" t="s">
        <v>34</v>
      </c>
      <c r="D422" t="s">
        <v>38</v>
      </c>
      <c r="E422">
        <v>676009</v>
      </c>
      <c r="F422">
        <v>10.34</v>
      </c>
      <c r="G422">
        <v>24</v>
      </c>
      <c r="H422">
        <v>133924</v>
      </c>
      <c r="I422">
        <v>848</v>
      </c>
      <c r="J422" t="s">
        <v>26</v>
      </c>
      <c r="K422">
        <v>6.3</v>
      </c>
      <c r="L422">
        <v>17.399999999999999</v>
      </c>
      <c r="M422" t="s">
        <v>23</v>
      </c>
      <c r="N422" s="7">
        <v>44982</v>
      </c>
      <c r="O422" t="str" cm="1">
        <f t="array" ref="O422">_xlfn.IFS(tbl_loans_clean[[#This Row],[Credit_Score]]&lt;650,"580-649",tbl_loans_clean[[#This Row],[Credit_Score]]&lt;700,"650-699",tbl_loans_clean[[#This Row],[Credit_Score]]&lt;750,"700-749",TRUE,"750+")</f>
        <v>750+</v>
      </c>
    </row>
    <row r="423" spans="1:15" x14ac:dyDescent="0.35">
      <c r="A423" t="s">
        <v>837</v>
      </c>
      <c r="B423" t="s">
        <v>37</v>
      </c>
      <c r="C423" t="s">
        <v>16</v>
      </c>
      <c r="D423" t="s">
        <v>17</v>
      </c>
      <c r="E423">
        <v>465115</v>
      </c>
      <c r="F423">
        <v>11.5</v>
      </c>
      <c r="G423">
        <v>24</v>
      </c>
      <c r="H423">
        <v>90287</v>
      </c>
      <c r="I423">
        <v>717</v>
      </c>
      <c r="J423" t="s">
        <v>26</v>
      </c>
      <c r="K423">
        <v>0.5</v>
      </c>
      <c r="L423">
        <v>27.8</v>
      </c>
      <c r="M423" t="s">
        <v>23</v>
      </c>
      <c r="N423" s="7">
        <v>44983</v>
      </c>
      <c r="O423" t="str" cm="1">
        <f t="array" ref="O423">_xlfn.IFS(tbl_loans_clean[[#This Row],[Credit_Score]]&lt;650,"580-649",tbl_loans_clean[[#This Row],[Credit_Score]]&lt;700,"650-699",tbl_loans_clean[[#This Row],[Credit_Score]]&lt;750,"700-749",TRUE,"750+")</f>
        <v>700-749</v>
      </c>
    </row>
    <row r="424" spans="1:15" x14ac:dyDescent="0.35">
      <c r="A424" t="s">
        <v>757</v>
      </c>
      <c r="B424" t="s">
        <v>71</v>
      </c>
      <c r="C424" t="s">
        <v>22</v>
      </c>
      <c r="D424" t="s">
        <v>17</v>
      </c>
      <c r="E424">
        <v>501965</v>
      </c>
      <c r="F424">
        <v>4.62</v>
      </c>
      <c r="G424">
        <v>300</v>
      </c>
      <c r="H424">
        <v>82970</v>
      </c>
      <c r="I424">
        <v>788</v>
      </c>
      <c r="J424" t="s">
        <v>35</v>
      </c>
      <c r="K424">
        <v>9.1</v>
      </c>
      <c r="L424">
        <v>23.1</v>
      </c>
      <c r="M424" t="s">
        <v>55</v>
      </c>
      <c r="N424" s="7">
        <v>44984</v>
      </c>
      <c r="O424" t="str" cm="1">
        <f t="array" ref="O424">_xlfn.IFS(tbl_loans_clean[[#This Row],[Credit_Score]]&lt;650,"580-649",tbl_loans_clean[[#This Row],[Credit_Score]]&lt;700,"650-699",tbl_loans_clean[[#This Row],[Credit_Score]]&lt;750,"700-749",TRUE,"750+")</f>
        <v>750+</v>
      </c>
    </row>
    <row r="425" spans="1:15" x14ac:dyDescent="0.35">
      <c r="A425" t="s">
        <v>593</v>
      </c>
      <c r="B425" t="s">
        <v>37</v>
      </c>
      <c r="C425" t="s">
        <v>16</v>
      </c>
      <c r="D425" t="s">
        <v>17</v>
      </c>
      <c r="E425">
        <v>92178</v>
      </c>
      <c r="F425">
        <v>7.56</v>
      </c>
      <c r="G425">
        <v>240</v>
      </c>
      <c r="H425">
        <v>218195</v>
      </c>
      <c r="I425">
        <v>684</v>
      </c>
      <c r="J425" t="s">
        <v>18</v>
      </c>
      <c r="K425">
        <v>11.6</v>
      </c>
      <c r="L425">
        <v>44.2</v>
      </c>
      <c r="M425" t="s">
        <v>19</v>
      </c>
      <c r="N425" s="7">
        <v>44986</v>
      </c>
      <c r="O425" t="str" cm="1">
        <f t="array" ref="O425">_xlfn.IFS(tbl_loans_clean[[#This Row],[Credit_Score]]&lt;650,"580-649",tbl_loans_clean[[#This Row],[Credit_Score]]&lt;700,"650-699",tbl_loans_clean[[#This Row],[Credit_Score]]&lt;750,"700-749",TRUE,"750+")</f>
        <v>650-699</v>
      </c>
    </row>
    <row r="426" spans="1:15" x14ac:dyDescent="0.35">
      <c r="A426" t="s">
        <v>237</v>
      </c>
      <c r="B426" t="s">
        <v>28</v>
      </c>
      <c r="C426" t="s">
        <v>34</v>
      </c>
      <c r="D426" t="s">
        <v>38</v>
      </c>
      <c r="E426">
        <v>537356</v>
      </c>
      <c r="F426">
        <v>6.6</v>
      </c>
      <c r="G426">
        <v>12</v>
      </c>
      <c r="H426">
        <v>52495</v>
      </c>
      <c r="I426">
        <v>755</v>
      </c>
      <c r="J426" t="s">
        <v>26</v>
      </c>
      <c r="K426">
        <v>1.6</v>
      </c>
      <c r="L426">
        <v>14.5</v>
      </c>
      <c r="M426" t="s">
        <v>55</v>
      </c>
      <c r="N426" s="7">
        <v>44987</v>
      </c>
      <c r="O426" t="str" cm="1">
        <f t="array" ref="O426">_xlfn.IFS(tbl_loans_clean[[#This Row],[Credit_Score]]&lt;650,"580-649",tbl_loans_clean[[#This Row],[Credit_Score]]&lt;700,"650-699",tbl_loans_clean[[#This Row],[Credit_Score]]&lt;750,"700-749",TRUE,"750+")</f>
        <v>750+</v>
      </c>
    </row>
    <row r="427" spans="1:15" x14ac:dyDescent="0.35">
      <c r="A427" t="s">
        <v>344</v>
      </c>
      <c r="B427" t="s">
        <v>15</v>
      </c>
      <c r="C427" t="s">
        <v>34</v>
      </c>
      <c r="D427" t="s">
        <v>38</v>
      </c>
      <c r="E427">
        <v>469028</v>
      </c>
      <c r="F427">
        <v>10.3</v>
      </c>
      <c r="G427">
        <v>60</v>
      </c>
      <c r="H427">
        <v>39781</v>
      </c>
      <c r="I427">
        <v>657</v>
      </c>
      <c r="J427" t="s">
        <v>39</v>
      </c>
      <c r="K427">
        <v>19</v>
      </c>
      <c r="L427">
        <v>14.7</v>
      </c>
      <c r="M427" t="s">
        <v>19</v>
      </c>
      <c r="N427" s="7">
        <v>44990</v>
      </c>
      <c r="O427" t="str" cm="1">
        <f t="array" ref="O427">_xlfn.IFS(tbl_loans_clean[[#This Row],[Credit_Score]]&lt;650,"580-649",tbl_loans_clean[[#This Row],[Credit_Score]]&lt;700,"650-699",tbl_loans_clean[[#This Row],[Credit_Score]]&lt;750,"700-749",TRUE,"750+")</f>
        <v>650-699</v>
      </c>
    </row>
    <row r="428" spans="1:15" x14ac:dyDescent="0.35">
      <c r="A428" t="s">
        <v>140</v>
      </c>
      <c r="B428" t="s">
        <v>30</v>
      </c>
      <c r="C428" t="s">
        <v>22</v>
      </c>
      <c r="D428" t="s">
        <v>32</v>
      </c>
      <c r="E428">
        <v>211846</v>
      </c>
      <c r="F428">
        <v>6.22</v>
      </c>
      <c r="G428">
        <v>24</v>
      </c>
      <c r="H428">
        <v>114133</v>
      </c>
      <c r="I428">
        <v>750</v>
      </c>
      <c r="J428" t="s">
        <v>18</v>
      </c>
      <c r="K428">
        <v>13</v>
      </c>
      <c r="L428">
        <v>12.2</v>
      </c>
      <c r="M428" t="s">
        <v>23</v>
      </c>
      <c r="N428" s="7">
        <v>44995</v>
      </c>
      <c r="O428" t="str" cm="1">
        <f t="array" ref="O428">_xlfn.IFS(tbl_loans_clean[[#This Row],[Credit_Score]]&lt;650,"580-649",tbl_loans_clean[[#This Row],[Credit_Score]]&lt;700,"650-699",tbl_loans_clean[[#This Row],[Credit_Score]]&lt;750,"700-749",TRUE,"750+")</f>
        <v>750+</v>
      </c>
    </row>
    <row r="429" spans="1:15" x14ac:dyDescent="0.35">
      <c r="A429" t="s">
        <v>373</v>
      </c>
      <c r="B429" t="s">
        <v>25</v>
      </c>
      <c r="C429" t="s">
        <v>22</v>
      </c>
      <c r="D429" t="s">
        <v>45</v>
      </c>
      <c r="E429">
        <v>544660</v>
      </c>
      <c r="F429">
        <v>4.04</v>
      </c>
      <c r="G429">
        <v>24</v>
      </c>
      <c r="H429">
        <v>42308</v>
      </c>
      <c r="I429">
        <v>588</v>
      </c>
      <c r="J429" t="s">
        <v>18</v>
      </c>
      <c r="K429">
        <v>2.2000000000000002</v>
      </c>
      <c r="L429">
        <v>30.4</v>
      </c>
      <c r="M429" t="s">
        <v>48</v>
      </c>
      <c r="N429" s="7">
        <v>44997</v>
      </c>
      <c r="O429" t="str" cm="1">
        <f t="array" ref="O429">_xlfn.IFS(tbl_loans_clean[[#This Row],[Credit_Score]]&lt;650,"580-649",tbl_loans_clean[[#This Row],[Credit_Score]]&lt;700,"650-699",tbl_loans_clean[[#This Row],[Credit_Score]]&lt;750,"700-749",TRUE,"750+")</f>
        <v>580-649</v>
      </c>
    </row>
    <row r="430" spans="1:15" x14ac:dyDescent="0.35">
      <c r="A430" t="s">
        <v>88</v>
      </c>
      <c r="B430" t="s">
        <v>15</v>
      </c>
      <c r="C430" t="s">
        <v>16</v>
      </c>
      <c r="D430" t="s">
        <v>38</v>
      </c>
      <c r="E430">
        <v>172647</v>
      </c>
      <c r="F430">
        <v>10.220000000000001</v>
      </c>
      <c r="G430">
        <v>60</v>
      </c>
      <c r="H430">
        <v>202004</v>
      </c>
      <c r="I430">
        <v>650</v>
      </c>
      <c r="J430" t="s">
        <v>18</v>
      </c>
      <c r="K430">
        <v>19.600000000000001</v>
      </c>
      <c r="L430">
        <v>8.4</v>
      </c>
      <c r="M430" t="s">
        <v>19</v>
      </c>
      <c r="N430" s="7">
        <v>44998</v>
      </c>
      <c r="O430" t="str" cm="1">
        <f t="array" ref="O430">_xlfn.IFS(tbl_loans_clean[[#This Row],[Credit_Score]]&lt;650,"580-649",tbl_loans_clean[[#This Row],[Credit_Score]]&lt;700,"650-699",tbl_loans_clean[[#This Row],[Credit_Score]]&lt;750,"700-749",TRUE,"750+")</f>
        <v>650-699</v>
      </c>
    </row>
    <row r="431" spans="1:15" x14ac:dyDescent="0.35">
      <c r="A431" t="s">
        <v>167</v>
      </c>
      <c r="B431" t="s">
        <v>25</v>
      </c>
      <c r="C431" t="s">
        <v>22</v>
      </c>
      <c r="D431" t="s">
        <v>32</v>
      </c>
      <c r="E431">
        <v>346207</v>
      </c>
      <c r="F431">
        <v>7.71</v>
      </c>
      <c r="G431">
        <v>120</v>
      </c>
      <c r="H431">
        <v>179899</v>
      </c>
      <c r="I431">
        <v>676</v>
      </c>
      <c r="J431" t="s">
        <v>39</v>
      </c>
      <c r="K431">
        <v>24.2</v>
      </c>
      <c r="L431">
        <v>16.399999999999999</v>
      </c>
      <c r="M431" t="s">
        <v>19</v>
      </c>
      <c r="N431" s="7">
        <v>44999</v>
      </c>
      <c r="O431" t="str" cm="1">
        <f t="array" ref="O431">_xlfn.IFS(tbl_loans_clean[[#This Row],[Credit_Score]]&lt;650,"580-649",tbl_loans_clean[[#This Row],[Credit_Score]]&lt;700,"650-699",tbl_loans_clean[[#This Row],[Credit_Score]]&lt;750,"700-749",TRUE,"750+")</f>
        <v>650-699</v>
      </c>
    </row>
    <row r="432" spans="1:15" x14ac:dyDescent="0.35">
      <c r="A432" t="s">
        <v>828</v>
      </c>
      <c r="B432" t="s">
        <v>15</v>
      </c>
      <c r="C432" t="s">
        <v>16</v>
      </c>
      <c r="D432" t="s">
        <v>17</v>
      </c>
      <c r="E432">
        <v>527552</v>
      </c>
      <c r="F432">
        <v>6.75</v>
      </c>
      <c r="G432">
        <v>36</v>
      </c>
      <c r="H432">
        <v>173698</v>
      </c>
      <c r="I432">
        <v>653</v>
      </c>
      <c r="J432" t="s">
        <v>39</v>
      </c>
      <c r="K432">
        <v>13.4</v>
      </c>
      <c r="L432">
        <v>23.3</v>
      </c>
      <c r="M432" t="s">
        <v>19</v>
      </c>
      <c r="N432" s="7">
        <v>45000</v>
      </c>
      <c r="O432" t="str" cm="1">
        <f t="array" ref="O432">_xlfn.IFS(tbl_loans_clean[[#This Row],[Credit_Score]]&lt;650,"580-649",tbl_loans_clean[[#This Row],[Credit_Score]]&lt;700,"650-699",tbl_loans_clean[[#This Row],[Credit_Score]]&lt;750,"700-749",TRUE,"750+")</f>
        <v>650-699</v>
      </c>
    </row>
    <row r="433" spans="1:15" x14ac:dyDescent="0.35">
      <c r="A433" t="s">
        <v>765</v>
      </c>
      <c r="B433" t="s">
        <v>25</v>
      </c>
      <c r="C433" t="s">
        <v>22</v>
      </c>
      <c r="D433" t="s">
        <v>17</v>
      </c>
      <c r="E433">
        <v>213859</v>
      </c>
      <c r="F433">
        <v>3.42</v>
      </c>
      <c r="G433">
        <v>120</v>
      </c>
      <c r="H433">
        <v>192211</v>
      </c>
      <c r="I433">
        <v>727</v>
      </c>
      <c r="J433" t="s">
        <v>18</v>
      </c>
      <c r="K433">
        <v>10.9</v>
      </c>
      <c r="L433">
        <v>9</v>
      </c>
      <c r="M433" t="s">
        <v>23</v>
      </c>
      <c r="N433" s="7">
        <v>45001</v>
      </c>
      <c r="O433" t="str" cm="1">
        <f t="array" ref="O433">_xlfn.IFS(tbl_loans_clean[[#This Row],[Credit_Score]]&lt;650,"580-649",tbl_loans_clean[[#This Row],[Credit_Score]]&lt;700,"650-699",tbl_loans_clean[[#This Row],[Credit_Score]]&lt;750,"700-749",TRUE,"750+")</f>
        <v>700-749</v>
      </c>
    </row>
    <row r="434" spans="1:15" x14ac:dyDescent="0.35">
      <c r="A434" t="s">
        <v>291</v>
      </c>
      <c r="B434" t="s">
        <v>30</v>
      </c>
      <c r="C434" t="s">
        <v>34</v>
      </c>
      <c r="D434" t="s">
        <v>17</v>
      </c>
      <c r="E434">
        <v>158245</v>
      </c>
      <c r="F434">
        <v>5.07</v>
      </c>
      <c r="G434">
        <v>24</v>
      </c>
      <c r="H434">
        <v>177762</v>
      </c>
      <c r="I434">
        <v>779</v>
      </c>
      <c r="J434" t="s">
        <v>18</v>
      </c>
      <c r="K434">
        <v>11.9</v>
      </c>
      <c r="L434">
        <v>19</v>
      </c>
      <c r="M434" t="s">
        <v>23</v>
      </c>
      <c r="N434" s="7">
        <v>45002</v>
      </c>
      <c r="O434" t="str" cm="1">
        <f t="array" ref="O434">_xlfn.IFS(tbl_loans_clean[[#This Row],[Credit_Score]]&lt;650,"580-649",tbl_loans_clean[[#This Row],[Credit_Score]]&lt;700,"650-699",tbl_loans_clean[[#This Row],[Credit_Score]]&lt;750,"700-749",TRUE,"750+")</f>
        <v>750+</v>
      </c>
    </row>
    <row r="435" spans="1:15" x14ac:dyDescent="0.35">
      <c r="A435" t="s">
        <v>617</v>
      </c>
      <c r="B435" t="s">
        <v>71</v>
      </c>
      <c r="C435" t="s">
        <v>34</v>
      </c>
      <c r="D435" t="s">
        <v>43</v>
      </c>
      <c r="E435">
        <v>429528</v>
      </c>
      <c r="F435">
        <v>12.34</v>
      </c>
      <c r="G435">
        <v>60</v>
      </c>
      <c r="H435">
        <v>133219</v>
      </c>
      <c r="I435">
        <v>628</v>
      </c>
      <c r="J435" t="s">
        <v>18</v>
      </c>
      <c r="K435">
        <v>5.3</v>
      </c>
      <c r="L435">
        <v>25.6</v>
      </c>
      <c r="M435" t="s">
        <v>48</v>
      </c>
      <c r="N435" s="7">
        <v>45003</v>
      </c>
      <c r="O435" t="str" cm="1">
        <f t="array" ref="O435">_xlfn.IFS(tbl_loans_clean[[#This Row],[Credit_Score]]&lt;650,"580-649",tbl_loans_clean[[#This Row],[Credit_Score]]&lt;700,"650-699",tbl_loans_clean[[#This Row],[Credit_Score]]&lt;750,"700-749",TRUE,"750+")</f>
        <v>580-649</v>
      </c>
    </row>
    <row r="436" spans="1:15" x14ac:dyDescent="0.35">
      <c r="A436" t="s">
        <v>235</v>
      </c>
      <c r="B436" t="s">
        <v>30</v>
      </c>
      <c r="C436" t="s">
        <v>22</v>
      </c>
      <c r="D436" t="s">
        <v>17</v>
      </c>
      <c r="E436">
        <v>47727</v>
      </c>
      <c r="F436">
        <v>8.2200000000000006</v>
      </c>
      <c r="G436">
        <v>36</v>
      </c>
      <c r="H436">
        <v>164109</v>
      </c>
      <c r="I436">
        <v>604</v>
      </c>
      <c r="J436" t="s">
        <v>18</v>
      </c>
      <c r="K436">
        <v>24.2</v>
      </c>
      <c r="L436">
        <v>34.700000000000003</v>
      </c>
      <c r="M436" t="s">
        <v>19</v>
      </c>
      <c r="N436" s="7">
        <v>45011</v>
      </c>
      <c r="O436" t="str" cm="1">
        <f t="array" ref="O436">_xlfn.IFS(tbl_loans_clean[[#This Row],[Credit_Score]]&lt;650,"580-649",tbl_loans_clean[[#This Row],[Credit_Score]]&lt;700,"650-699",tbl_loans_clean[[#This Row],[Credit_Score]]&lt;750,"700-749",TRUE,"750+")</f>
        <v>580-649</v>
      </c>
    </row>
    <row r="437" spans="1:15" x14ac:dyDescent="0.35">
      <c r="A437" t="s">
        <v>604</v>
      </c>
      <c r="B437" t="s">
        <v>30</v>
      </c>
      <c r="C437" t="s">
        <v>16</v>
      </c>
      <c r="D437" t="s">
        <v>17</v>
      </c>
      <c r="E437">
        <v>265220</v>
      </c>
      <c r="F437">
        <v>14.14</v>
      </c>
      <c r="G437">
        <v>12</v>
      </c>
      <c r="H437">
        <v>86755</v>
      </c>
      <c r="I437">
        <v>746</v>
      </c>
      <c r="J437" t="s">
        <v>18</v>
      </c>
      <c r="K437">
        <v>11.9</v>
      </c>
      <c r="L437">
        <v>17.8</v>
      </c>
      <c r="M437" t="s">
        <v>23</v>
      </c>
      <c r="N437" s="7">
        <v>45012</v>
      </c>
      <c r="O437" t="str" cm="1">
        <f t="array" ref="O437">_xlfn.IFS(tbl_loans_clean[[#This Row],[Credit_Score]]&lt;650,"580-649",tbl_loans_clean[[#This Row],[Credit_Score]]&lt;700,"650-699",tbl_loans_clean[[#This Row],[Credit_Score]]&lt;750,"700-749",TRUE,"750+")</f>
        <v>700-749</v>
      </c>
    </row>
    <row r="438" spans="1:15" x14ac:dyDescent="0.35">
      <c r="A438" t="s">
        <v>519</v>
      </c>
      <c r="B438" t="s">
        <v>15</v>
      </c>
      <c r="C438" t="s">
        <v>34</v>
      </c>
      <c r="D438" t="s">
        <v>32</v>
      </c>
      <c r="E438">
        <v>507367</v>
      </c>
      <c r="F438">
        <v>14.45</v>
      </c>
      <c r="G438">
        <v>12</v>
      </c>
      <c r="H438">
        <v>205583</v>
      </c>
      <c r="I438">
        <v>584</v>
      </c>
      <c r="J438" t="s">
        <v>39</v>
      </c>
      <c r="K438">
        <v>20.2</v>
      </c>
      <c r="L438">
        <v>18.399999999999999</v>
      </c>
      <c r="M438" t="s">
        <v>23</v>
      </c>
      <c r="N438" s="7">
        <v>45014</v>
      </c>
      <c r="O438" t="str" cm="1">
        <f t="array" ref="O438">_xlfn.IFS(tbl_loans_clean[[#This Row],[Credit_Score]]&lt;650,"580-649",tbl_loans_clean[[#This Row],[Credit_Score]]&lt;700,"650-699",tbl_loans_clean[[#This Row],[Credit_Score]]&lt;750,"700-749",TRUE,"750+")</f>
        <v>580-649</v>
      </c>
    </row>
    <row r="439" spans="1:15" x14ac:dyDescent="0.35">
      <c r="A439" t="s">
        <v>145</v>
      </c>
      <c r="B439" t="s">
        <v>83</v>
      </c>
      <c r="C439" t="s">
        <v>22</v>
      </c>
      <c r="D439" t="s">
        <v>32</v>
      </c>
      <c r="E439">
        <v>164380</v>
      </c>
      <c r="F439">
        <v>11.18</v>
      </c>
      <c r="G439">
        <v>12</v>
      </c>
      <c r="H439">
        <v>197439</v>
      </c>
      <c r="I439">
        <v>741</v>
      </c>
      <c r="J439" t="s">
        <v>18</v>
      </c>
      <c r="K439">
        <v>13.5</v>
      </c>
      <c r="L439">
        <v>28.7</v>
      </c>
      <c r="M439" t="s">
        <v>19</v>
      </c>
      <c r="N439" s="7">
        <v>45015</v>
      </c>
      <c r="O439" t="str" cm="1">
        <f t="array" ref="O439">_xlfn.IFS(tbl_loans_clean[[#This Row],[Credit_Score]]&lt;650,"580-649",tbl_loans_clean[[#This Row],[Credit_Score]]&lt;700,"650-699",tbl_loans_clean[[#This Row],[Credit_Score]]&lt;750,"700-749",TRUE,"750+")</f>
        <v>700-749</v>
      </c>
    </row>
    <row r="440" spans="1:15" x14ac:dyDescent="0.35">
      <c r="A440" t="s">
        <v>219</v>
      </c>
      <c r="B440" t="s">
        <v>71</v>
      </c>
      <c r="C440" t="s">
        <v>22</v>
      </c>
      <c r="D440" t="s">
        <v>17</v>
      </c>
      <c r="E440">
        <v>54847</v>
      </c>
      <c r="F440">
        <v>6.24</v>
      </c>
      <c r="G440">
        <v>12</v>
      </c>
      <c r="H440">
        <v>125799</v>
      </c>
      <c r="I440">
        <v>620</v>
      </c>
      <c r="J440" t="s">
        <v>26</v>
      </c>
      <c r="K440">
        <v>18</v>
      </c>
      <c r="L440">
        <v>8.4</v>
      </c>
      <c r="M440" t="s">
        <v>23</v>
      </c>
      <c r="N440" s="7">
        <v>45017</v>
      </c>
      <c r="O440" t="str" cm="1">
        <f t="array" ref="O440">_xlfn.IFS(tbl_loans_clean[[#This Row],[Credit_Score]]&lt;650,"580-649",tbl_loans_clean[[#This Row],[Credit_Score]]&lt;700,"650-699",tbl_loans_clean[[#This Row],[Credit_Score]]&lt;750,"700-749",TRUE,"750+")</f>
        <v>580-649</v>
      </c>
    </row>
    <row r="441" spans="1:15" x14ac:dyDescent="0.35">
      <c r="A441" t="s">
        <v>781</v>
      </c>
      <c r="B441" t="s">
        <v>15</v>
      </c>
      <c r="C441" t="s">
        <v>16</v>
      </c>
      <c r="D441" t="s">
        <v>32</v>
      </c>
      <c r="E441">
        <v>397573</v>
      </c>
      <c r="F441">
        <v>13.2</v>
      </c>
      <c r="G441">
        <v>120</v>
      </c>
      <c r="H441">
        <v>142165</v>
      </c>
      <c r="I441">
        <v>741</v>
      </c>
      <c r="J441" t="s">
        <v>26</v>
      </c>
      <c r="K441">
        <v>6</v>
      </c>
      <c r="L441">
        <v>16.8</v>
      </c>
      <c r="M441" t="s">
        <v>23</v>
      </c>
      <c r="N441" s="7">
        <v>45017</v>
      </c>
      <c r="O441" t="str" cm="1">
        <f t="array" ref="O441">_xlfn.IFS(tbl_loans_clean[[#This Row],[Credit_Score]]&lt;650,"580-649",tbl_loans_clean[[#This Row],[Credit_Score]]&lt;700,"650-699",tbl_loans_clean[[#This Row],[Credit_Score]]&lt;750,"700-749",TRUE,"750+")</f>
        <v>700-749</v>
      </c>
    </row>
    <row r="442" spans="1:15" x14ac:dyDescent="0.35">
      <c r="A442" t="s">
        <v>501</v>
      </c>
      <c r="B442" t="s">
        <v>30</v>
      </c>
      <c r="C442" t="s">
        <v>16</v>
      </c>
      <c r="D442" t="s">
        <v>32</v>
      </c>
      <c r="E442">
        <v>749199</v>
      </c>
      <c r="F442">
        <v>10.199999999999999</v>
      </c>
      <c r="G442">
        <v>60</v>
      </c>
      <c r="H442">
        <v>50092</v>
      </c>
      <c r="I442">
        <v>683</v>
      </c>
      <c r="J442" t="s">
        <v>39</v>
      </c>
      <c r="K442">
        <v>5.8</v>
      </c>
      <c r="L442">
        <v>47.8</v>
      </c>
      <c r="M442" t="s">
        <v>23</v>
      </c>
      <c r="N442" s="7">
        <v>45018</v>
      </c>
      <c r="O442" t="str" cm="1">
        <f t="array" ref="O442">_xlfn.IFS(tbl_loans_clean[[#This Row],[Credit_Score]]&lt;650,"580-649",tbl_loans_clean[[#This Row],[Credit_Score]]&lt;700,"650-699",tbl_loans_clean[[#This Row],[Credit_Score]]&lt;750,"700-749",TRUE,"750+")</f>
        <v>650-699</v>
      </c>
    </row>
    <row r="443" spans="1:15" x14ac:dyDescent="0.35">
      <c r="A443" t="s">
        <v>667</v>
      </c>
      <c r="B443" t="s">
        <v>15</v>
      </c>
      <c r="C443" t="s">
        <v>34</v>
      </c>
      <c r="D443" t="s">
        <v>32</v>
      </c>
      <c r="E443">
        <v>403172</v>
      </c>
      <c r="F443">
        <v>5.18</v>
      </c>
      <c r="G443">
        <v>300</v>
      </c>
      <c r="H443">
        <v>72130</v>
      </c>
      <c r="I443">
        <v>810</v>
      </c>
      <c r="J443" t="s">
        <v>18</v>
      </c>
      <c r="K443">
        <v>4.8</v>
      </c>
      <c r="L443">
        <v>46.6</v>
      </c>
      <c r="M443" t="s">
        <v>19</v>
      </c>
      <c r="N443" s="7">
        <v>45018</v>
      </c>
      <c r="O443" t="str" cm="1">
        <f t="array" ref="O443">_xlfn.IFS(tbl_loans_clean[[#This Row],[Credit_Score]]&lt;650,"580-649",tbl_loans_clean[[#This Row],[Credit_Score]]&lt;700,"650-699",tbl_loans_clean[[#This Row],[Credit_Score]]&lt;750,"700-749",TRUE,"750+")</f>
        <v>750+</v>
      </c>
    </row>
    <row r="444" spans="1:15" x14ac:dyDescent="0.35">
      <c r="A444" t="s">
        <v>384</v>
      </c>
      <c r="B444" t="s">
        <v>30</v>
      </c>
      <c r="C444" t="s">
        <v>16</v>
      </c>
      <c r="D444" t="s">
        <v>38</v>
      </c>
      <c r="E444">
        <v>272986</v>
      </c>
      <c r="F444">
        <v>7.38</v>
      </c>
      <c r="G444">
        <v>48</v>
      </c>
      <c r="H444">
        <v>185371</v>
      </c>
      <c r="I444">
        <v>845</v>
      </c>
      <c r="J444" t="s">
        <v>18</v>
      </c>
      <c r="K444">
        <v>18.7</v>
      </c>
      <c r="L444">
        <v>19.100000000000001</v>
      </c>
      <c r="M444" t="s">
        <v>23</v>
      </c>
      <c r="N444" s="7">
        <v>45020</v>
      </c>
      <c r="O444" t="str" cm="1">
        <f t="array" ref="O444">_xlfn.IFS(tbl_loans_clean[[#This Row],[Credit_Score]]&lt;650,"580-649",tbl_loans_clean[[#This Row],[Credit_Score]]&lt;700,"650-699",tbl_loans_clean[[#This Row],[Credit_Score]]&lt;750,"700-749",TRUE,"750+")</f>
        <v>750+</v>
      </c>
    </row>
    <row r="445" spans="1:15" x14ac:dyDescent="0.35">
      <c r="A445" t="s">
        <v>653</v>
      </c>
      <c r="B445" t="s">
        <v>25</v>
      </c>
      <c r="C445" t="s">
        <v>22</v>
      </c>
      <c r="D445" t="s">
        <v>38</v>
      </c>
      <c r="E445">
        <v>112096</v>
      </c>
      <c r="F445">
        <v>8.73</v>
      </c>
      <c r="G445">
        <v>36</v>
      </c>
      <c r="H445">
        <v>35601</v>
      </c>
      <c r="I445">
        <v>828</v>
      </c>
      <c r="J445" t="s">
        <v>18</v>
      </c>
      <c r="K445">
        <v>1.9</v>
      </c>
      <c r="L445">
        <v>28</v>
      </c>
      <c r="M445" t="s">
        <v>55</v>
      </c>
      <c r="N445" s="7">
        <v>45022</v>
      </c>
      <c r="O445" t="str" cm="1">
        <f t="array" ref="O445">_xlfn.IFS(tbl_loans_clean[[#This Row],[Credit_Score]]&lt;650,"580-649",tbl_loans_clean[[#This Row],[Credit_Score]]&lt;700,"650-699",tbl_loans_clean[[#This Row],[Credit_Score]]&lt;750,"700-749",TRUE,"750+")</f>
        <v>750+</v>
      </c>
    </row>
    <row r="446" spans="1:15" x14ac:dyDescent="0.35">
      <c r="A446" t="s">
        <v>690</v>
      </c>
      <c r="B446" t="s">
        <v>25</v>
      </c>
      <c r="C446" t="s">
        <v>34</v>
      </c>
      <c r="D446" t="s">
        <v>45</v>
      </c>
      <c r="E446">
        <v>345676</v>
      </c>
      <c r="F446">
        <v>7.35</v>
      </c>
      <c r="G446">
        <v>12</v>
      </c>
      <c r="H446">
        <v>150374</v>
      </c>
      <c r="I446">
        <v>674</v>
      </c>
      <c r="J446" t="s">
        <v>18</v>
      </c>
      <c r="K446">
        <v>5.7</v>
      </c>
      <c r="L446">
        <v>47.9</v>
      </c>
      <c r="M446" t="s">
        <v>23</v>
      </c>
      <c r="N446" s="7">
        <v>45024</v>
      </c>
      <c r="O446" t="str" cm="1">
        <f t="array" ref="O446">_xlfn.IFS(tbl_loans_clean[[#This Row],[Credit_Score]]&lt;650,"580-649",tbl_loans_clean[[#This Row],[Credit_Score]]&lt;700,"650-699",tbl_loans_clean[[#This Row],[Credit_Score]]&lt;750,"700-749",TRUE,"750+")</f>
        <v>650-699</v>
      </c>
    </row>
    <row r="447" spans="1:15" x14ac:dyDescent="0.35">
      <c r="A447" t="s">
        <v>297</v>
      </c>
      <c r="B447" t="s">
        <v>71</v>
      </c>
      <c r="C447" t="s">
        <v>16</v>
      </c>
      <c r="D447" t="s">
        <v>38</v>
      </c>
      <c r="E447">
        <v>511581</v>
      </c>
      <c r="F447">
        <v>4.1399999999999997</v>
      </c>
      <c r="G447">
        <v>48</v>
      </c>
      <c r="H447">
        <v>77056</v>
      </c>
      <c r="I447">
        <v>628</v>
      </c>
      <c r="J447" t="s">
        <v>26</v>
      </c>
      <c r="K447">
        <v>21.4</v>
      </c>
      <c r="L447">
        <v>39.6</v>
      </c>
      <c r="M447" t="s">
        <v>19</v>
      </c>
      <c r="N447" s="7">
        <v>45025</v>
      </c>
      <c r="O447" t="str" cm="1">
        <f t="array" ref="O447">_xlfn.IFS(tbl_loans_clean[[#This Row],[Credit_Score]]&lt;650,"580-649",tbl_loans_clean[[#This Row],[Credit_Score]]&lt;700,"650-699",tbl_loans_clean[[#This Row],[Credit_Score]]&lt;750,"700-749",TRUE,"750+")</f>
        <v>580-649</v>
      </c>
    </row>
    <row r="448" spans="1:15" x14ac:dyDescent="0.35">
      <c r="A448" t="s">
        <v>467</v>
      </c>
      <c r="B448" t="s">
        <v>15</v>
      </c>
      <c r="C448" t="s">
        <v>16</v>
      </c>
      <c r="D448" t="s">
        <v>17</v>
      </c>
      <c r="E448">
        <v>369662</v>
      </c>
      <c r="F448">
        <v>13.35</v>
      </c>
      <c r="G448">
        <v>48</v>
      </c>
      <c r="H448">
        <v>173817</v>
      </c>
      <c r="I448">
        <v>808</v>
      </c>
      <c r="J448" t="s">
        <v>26</v>
      </c>
      <c r="K448">
        <v>6.3</v>
      </c>
      <c r="L448">
        <v>8.5</v>
      </c>
      <c r="M448" t="s">
        <v>23</v>
      </c>
      <c r="N448" s="7">
        <v>45026</v>
      </c>
      <c r="O448" t="str" cm="1">
        <f t="array" ref="O448">_xlfn.IFS(tbl_loans_clean[[#This Row],[Credit_Score]]&lt;650,"580-649",tbl_loans_clean[[#This Row],[Credit_Score]]&lt;700,"650-699",tbl_loans_clean[[#This Row],[Credit_Score]]&lt;750,"700-749",TRUE,"750+")</f>
        <v>750+</v>
      </c>
    </row>
    <row r="449" spans="1:15" x14ac:dyDescent="0.35">
      <c r="A449" t="s">
        <v>173</v>
      </c>
      <c r="B449" t="s">
        <v>30</v>
      </c>
      <c r="C449" t="s">
        <v>34</v>
      </c>
      <c r="D449" t="s">
        <v>32</v>
      </c>
      <c r="E449">
        <v>597632</v>
      </c>
      <c r="F449">
        <v>3.29</v>
      </c>
      <c r="G449">
        <v>120</v>
      </c>
      <c r="H449">
        <v>63932</v>
      </c>
      <c r="I449">
        <v>764</v>
      </c>
      <c r="J449" t="s">
        <v>18</v>
      </c>
      <c r="K449">
        <v>11.5</v>
      </c>
      <c r="L449">
        <v>17.100000000000001</v>
      </c>
      <c r="M449" t="s">
        <v>23</v>
      </c>
      <c r="N449" s="7">
        <v>45028</v>
      </c>
      <c r="O449" t="str" cm="1">
        <f t="array" ref="O449">_xlfn.IFS(tbl_loans_clean[[#This Row],[Credit_Score]]&lt;650,"580-649",tbl_loans_clean[[#This Row],[Credit_Score]]&lt;700,"650-699",tbl_loans_clean[[#This Row],[Credit_Score]]&lt;750,"700-749",TRUE,"750+")</f>
        <v>750+</v>
      </c>
    </row>
    <row r="450" spans="1:15" x14ac:dyDescent="0.35">
      <c r="A450" t="s">
        <v>751</v>
      </c>
      <c r="B450" t="s">
        <v>28</v>
      </c>
      <c r="C450" t="s">
        <v>16</v>
      </c>
      <c r="D450" t="s">
        <v>17</v>
      </c>
      <c r="E450">
        <v>173616</v>
      </c>
      <c r="F450">
        <v>6.38</v>
      </c>
      <c r="G450">
        <v>120</v>
      </c>
      <c r="H450">
        <v>48008</v>
      </c>
      <c r="I450">
        <v>790</v>
      </c>
      <c r="J450" t="s">
        <v>18</v>
      </c>
      <c r="K450">
        <v>10</v>
      </c>
      <c r="L450">
        <v>11.5</v>
      </c>
      <c r="M450" t="s">
        <v>55</v>
      </c>
      <c r="N450" s="7">
        <v>45030</v>
      </c>
      <c r="O450" t="str" cm="1">
        <f t="array" ref="O450">_xlfn.IFS(tbl_loans_clean[[#This Row],[Credit_Score]]&lt;650,"580-649",tbl_loans_clean[[#This Row],[Credit_Score]]&lt;700,"650-699",tbl_loans_clean[[#This Row],[Credit_Score]]&lt;750,"700-749",TRUE,"750+")</f>
        <v>750+</v>
      </c>
    </row>
    <row r="451" spans="1:15" x14ac:dyDescent="0.35">
      <c r="A451" t="s">
        <v>350</v>
      </c>
      <c r="B451" t="s">
        <v>25</v>
      </c>
      <c r="C451" t="s">
        <v>16</v>
      </c>
      <c r="D451" t="s">
        <v>17</v>
      </c>
      <c r="E451">
        <v>189456</v>
      </c>
      <c r="F451">
        <v>12.65</v>
      </c>
      <c r="G451">
        <v>120</v>
      </c>
      <c r="H451">
        <v>113058</v>
      </c>
      <c r="I451">
        <v>597</v>
      </c>
      <c r="J451" t="s">
        <v>26</v>
      </c>
      <c r="K451">
        <v>6</v>
      </c>
      <c r="L451">
        <v>36.200000000000003</v>
      </c>
      <c r="M451" t="s">
        <v>48</v>
      </c>
      <c r="N451" s="7">
        <v>45036</v>
      </c>
      <c r="O451" t="str" cm="1">
        <f t="array" ref="O451">_xlfn.IFS(tbl_loans_clean[[#This Row],[Credit_Score]]&lt;650,"580-649",tbl_loans_clean[[#This Row],[Credit_Score]]&lt;700,"650-699",tbl_loans_clean[[#This Row],[Credit_Score]]&lt;750,"700-749",TRUE,"750+")</f>
        <v>580-649</v>
      </c>
    </row>
    <row r="452" spans="1:15" x14ac:dyDescent="0.35">
      <c r="A452" t="s">
        <v>156</v>
      </c>
      <c r="B452" t="s">
        <v>37</v>
      </c>
      <c r="C452" t="s">
        <v>22</v>
      </c>
      <c r="D452" t="s">
        <v>52</v>
      </c>
      <c r="E452">
        <v>496024</v>
      </c>
      <c r="F452">
        <v>13.18</v>
      </c>
      <c r="G452">
        <v>120</v>
      </c>
      <c r="H452">
        <v>124622</v>
      </c>
      <c r="I452">
        <v>729</v>
      </c>
      <c r="J452" t="s">
        <v>26</v>
      </c>
      <c r="K452">
        <v>4.0999999999999996</v>
      </c>
      <c r="L452">
        <v>26.3</v>
      </c>
      <c r="M452" t="s">
        <v>23</v>
      </c>
      <c r="N452" s="7">
        <v>45037</v>
      </c>
      <c r="O452" t="str" cm="1">
        <f t="array" ref="O452">_xlfn.IFS(tbl_loans_clean[[#This Row],[Credit_Score]]&lt;650,"580-649",tbl_loans_clean[[#This Row],[Credit_Score]]&lt;700,"650-699",tbl_loans_clean[[#This Row],[Credit_Score]]&lt;750,"700-749",TRUE,"750+")</f>
        <v>700-749</v>
      </c>
    </row>
    <row r="453" spans="1:15" x14ac:dyDescent="0.35">
      <c r="A453" t="s">
        <v>528</v>
      </c>
      <c r="B453" t="s">
        <v>30</v>
      </c>
      <c r="C453" t="s">
        <v>22</v>
      </c>
      <c r="D453" t="s">
        <v>17</v>
      </c>
      <c r="E453">
        <v>174530</v>
      </c>
      <c r="F453">
        <v>10.86</v>
      </c>
      <c r="G453">
        <v>60</v>
      </c>
      <c r="H453">
        <v>42678</v>
      </c>
      <c r="I453">
        <v>834</v>
      </c>
      <c r="J453" t="s">
        <v>18</v>
      </c>
      <c r="K453">
        <v>6</v>
      </c>
      <c r="L453">
        <v>24.2</v>
      </c>
      <c r="M453" t="s">
        <v>23</v>
      </c>
      <c r="N453" s="7">
        <v>45040</v>
      </c>
      <c r="O453" t="str" cm="1">
        <f t="array" ref="O453">_xlfn.IFS(tbl_loans_clean[[#This Row],[Credit_Score]]&lt;650,"580-649",tbl_loans_clean[[#This Row],[Credit_Score]]&lt;700,"650-699",tbl_loans_clean[[#This Row],[Credit_Score]]&lt;750,"700-749",TRUE,"750+")</f>
        <v>750+</v>
      </c>
    </row>
    <row r="454" spans="1:15" x14ac:dyDescent="0.35">
      <c r="A454" t="s">
        <v>396</v>
      </c>
      <c r="B454" t="s">
        <v>30</v>
      </c>
      <c r="C454" t="s">
        <v>16</v>
      </c>
      <c r="D454" t="s">
        <v>52</v>
      </c>
      <c r="E454">
        <v>616985</v>
      </c>
      <c r="F454">
        <v>9.4</v>
      </c>
      <c r="G454">
        <v>24</v>
      </c>
      <c r="H454">
        <v>218285</v>
      </c>
      <c r="I454">
        <v>583</v>
      </c>
      <c r="J454" t="s">
        <v>18</v>
      </c>
      <c r="K454">
        <v>3.2</v>
      </c>
      <c r="L454">
        <v>34.799999999999997</v>
      </c>
      <c r="M454" t="s">
        <v>23</v>
      </c>
      <c r="N454" s="7">
        <v>45042</v>
      </c>
      <c r="O454" t="str" cm="1">
        <f t="array" ref="O454">_xlfn.IFS(tbl_loans_clean[[#This Row],[Credit_Score]]&lt;650,"580-649",tbl_loans_clean[[#This Row],[Credit_Score]]&lt;700,"650-699",tbl_loans_clean[[#This Row],[Credit_Score]]&lt;750,"700-749",TRUE,"750+")</f>
        <v>580-649</v>
      </c>
    </row>
    <row r="455" spans="1:15" x14ac:dyDescent="0.35">
      <c r="A455" t="s">
        <v>293</v>
      </c>
      <c r="B455" t="s">
        <v>37</v>
      </c>
      <c r="C455" t="s">
        <v>34</v>
      </c>
      <c r="D455" t="s">
        <v>43</v>
      </c>
      <c r="E455">
        <v>640956</v>
      </c>
      <c r="F455">
        <v>11.32</v>
      </c>
      <c r="G455">
        <v>60</v>
      </c>
      <c r="H455">
        <v>207921</v>
      </c>
      <c r="I455">
        <v>842</v>
      </c>
      <c r="J455" t="s">
        <v>39</v>
      </c>
      <c r="K455">
        <v>2.1</v>
      </c>
      <c r="L455">
        <v>9.6</v>
      </c>
      <c r="M455" t="s">
        <v>55</v>
      </c>
      <c r="N455" s="7">
        <v>45044</v>
      </c>
      <c r="O455" t="str" cm="1">
        <f t="array" ref="O455">_xlfn.IFS(tbl_loans_clean[[#This Row],[Credit_Score]]&lt;650,"580-649",tbl_loans_clean[[#This Row],[Credit_Score]]&lt;700,"650-699",tbl_loans_clean[[#This Row],[Credit_Score]]&lt;750,"700-749",TRUE,"750+")</f>
        <v>750+</v>
      </c>
    </row>
    <row r="456" spans="1:15" x14ac:dyDescent="0.35">
      <c r="A456" t="s">
        <v>137</v>
      </c>
      <c r="B456" t="s">
        <v>15</v>
      </c>
      <c r="C456" t="s">
        <v>22</v>
      </c>
      <c r="D456" t="s">
        <v>17</v>
      </c>
      <c r="E456">
        <v>661667</v>
      </c>
      <c r="F456">
        <v>9.9700000000000006</v>
      </c>
      <c r="G456">
        <v>12</v>
      </c>
      <c r="H456">
        <v>180271</v>
      </c>
      <c r="I456">
        <v>679</v>
      </c>
      <c r="J456" t="s">
        <v>18</v>
      </c>
      <c r="K456">
        <v>14.9</v>
      </c>
      <c r="L456">
        <v>25.7</v>
      </c>
      <c r="M456" t="s">
        <v>48</v>
      </c>
      <c r="N456" s="7">
        <v>45045</v>
      </c>
      <c r="O456" t="str" cm="1">
        <f t="array" ref="O456">_xlfn.IFS(tbl_loans_clean[[#This Row],[Credit_Score]]&lt;650,"580-649",tbl_loans_clean[[#This Row],[Credit_Score]]&lt;700,"650-699",tbl_loans_clean[[#This Row],[Credit_Score]]&lt;750,"700-749",TRUE,"750+")</f>
        <v>650-699</v>
      </c>
    </row>
    <row r="457" spans="1:15" x14ac:dyDescent="0.35">
      <c r="A457" t="s">
        <v>181</v>
      </c>
      <c r="B457" t="s">
        <v>21</v>
      </c>
      <c r="C457" t="s">
        <v>22</v>
      </c>
      <c r="D457" t="s">
        <v>43</v>
      </c>
      <c r="E457">
        <v>419299</v>
      </c>
      <c r="F457">
        <v>11.37</v>
      </c>
      <c r="G457">
        <v>36</v>
      </c>
      <c r="H457">
        <v>143194</v>
      </c>
      <c r="I457">
        <v>733</v>
      </c>
      <c r="J457" t="s">
        <v>18</v>
      </c>
      <c r="K457">
        <v>18.8</v>
      </c>
      <c r="L457">
        <v>28.2</v>
      </c>
      <c r="M457" t="s">
        <v>23</v>
      </c>
      <c r="N457" s="7">
        <v>45047</v>
      </c>
      <c r="O457" t="str" cm="1">
        <f t="array" ref="O457">_xlfn.IFS(tbl_loans_clean[[#This Row],[Credit_Score]]&lt;650,"580-649",tbl_loans_clean[[#This Row],[Credit_Score]]&lt;700,"650-699",tbl_loans_clean[[#This Row],[Credit_Score]]&lt;750,"700-749",TRUE,"750+")</f>
        <v>700-749</v>
      </c>
    </row>
    <row r="458" spans="1:15" x14ac:dyDescent="0.35">
      <c r="A458" t="s">
        <v>355</v>
      </c>
      <c r="B458" t="s">
        <v>21</v>
      </c>
      <c r="C458" t="s">
        <v>16</v>
      </c>
      <c r="D458" t="s">
        <v>17</v>
      </c>
      <c r="E458">
        <v>118550</v>
      </c>
      <c r="F458">
        <v>12.14</v>
      </c>
      <c r="G458">
        <v>240</v>
      </c>
      <c r="H458">
        <v>65038</v>
      </c>
      <c r="I458">
        <v>801</v>
      </c>
      <c r="J458" t="s">
        <v>26</v>
      </c>
      <c r="K458">
        <v>8.9</v>
      </c>
      <c r="L458">
        <v>22.9</v>
      </c>
      <c r="M458" t="s">
        <v>23</v>
      </c>
      <c r="N458" s="7">
        <v>45051</v>
      </c>
      <c r="O458" t="str" cm="1">
        <f t="array" ref="O458">_xlfn.IFS(tbl_loans_clean[[#This Row],[Credit_Score]]&lt;650,"580-649",tbl_loans_clean[[#This Row],[Credit_Score]]&lt;700,"650-699",tbl_loans_clean[[#This Row],[Credit_Score]]&lt;750,"700-749",TRUE,"750+")</f>
        <v>750+</v>
      </c>
    </row>
    <row r="459" spans="1:15" x14ac:dyDescent="0.35">
      <c r="A459" t="s">
        <v>482</v>
      </c>
      <c r="B459" t="s">
        <v>30</v>
      </c>
      <c r="C459" t="s">
        <v>34</v>
      </c>
      <c r="D459" t="s">
        <v>43</v>
      </c>
      <c r="E459">
        <v>297575</v>
      </c>
      <c r="F459">
        <v>12.9</v>
      </c>
      <c r="G459">
        <v>300</v>
      </c>
      <c r="H459">
        <v>88973</v>
      </c>
      <c r="I459">
        <v>743</v>
      </c>
      <c r="J459" t="s">
        <v>18</v>
      </c>
      <c r="K459">
        <v>16.899999999999999</v>
      </c>
      <c r="L459">
        <v>21.5</v>
      </c>
      <c r="M459" t="s">
        <v>23</v>
      </c>
      <c r="N459" s="7">
        <v>45051</v>
      </c>
      <c r="O459" t="str" cm="1">
        <f t="array" ref="O459">_xlfn.IFS(tbl_loans_clean[[#This Row],[Credit_Score]]&lt;650,"580-649",tbl_loans_clean[[#This Row],[Credit_Score]]&lt;700,"650-699",tbl_loans_clean[[#This Row],[Credit_Score]]&lt;750,"700-749",TRUE,"750+")</f>
        <v>700-749</v>
      </c>
    </row>
    <row r="460" spans="1:15" x14ac:dyDescent="0.35">
      <c r="A460" t="s">
        <v>525</v>
      </c>
      <c r="B460" t="s">
        <v>28</v>
      </c>
      <c r="C460" t="s">
        <v>22</v>
      </c>
      <c r="D460" t="s">
        <v>73</v>
      </c>
      <c r="E460">
        <v>716195</v>
      </c>
      <c r="F460">
        <v>3.8</v>
      </c>
      <c r="G460">
        <v>300</v>
      </c>
      <c r="H460">
        <v>30159</v>
      </c>
      <c r="I460">
        <v>706</v>
      </c>
      <c r="J460" t="s">
        <v>26</v>
      </c>
      <c r="K460">
        <v>14.1</v>
      </c>
      <c r="L460">
        <v>36.1</v>
      </c>
      <c r="M460" t="s">
        <v>23</v>
      </c>
      <c r="N460" s="7">
        <v>45051</v>
      </c>
      <c r="O460" t="str" cm="1">
        <f t="array" ref="O460">_xlfn.IFS(tbl_loans_clean[[#This Row],[Credit_Score]]&lt;650,"580-649",tbl_loans_clean[[#This Row],[Credit_Score]]&lt;700,"650-699",tbl_loans_clean[[#This Row],[Credit_Score]]&lt;750,"700-749",TRUE,"750+")</f>
        <v>700-749</v>
      </c>
    </row>
    <row r="461" spans="1:15" x14ac:dyDescent="0.35">
      <c r="A461" t="s">
        <v>646</v>
      </c>
      <c r="B461" t="s">
        <v>30</v>
      </c>
      <c r="C461" t="s">
        <v>16</v>
      </c>
      <c r="D461" t="s">
        <v>38</v>
      </c>
      <c r="E461">
        <v>290960</v>
      </c>
      <c r="F461">
        <v>6.75</v>
      </c>
      <c r="G461">
        <v>36</v>
      </c>
      <c r="H461">
        <v>176630</v>
      </c>
      <c r="I461">
        <v>724</v>
      </c>
      <c r="J461" t="s">
        <v>18</v>
      </c>
      <c r="K461">
        <v>15.7</v>
      </c>
      <c r="L461">
        <v>36.700000000000003</v>
      </c>
      <c r="M461" t="s">
        <v>19</v>
      </c>
      <c r="N461" s="7">
        <v>45051</v>
      </c>
      <c r="O461" t="str" cm="1">
        <f t="array" ref="O461">_xlfn.IFS(tbl_loans_clean[[#This Row],[Credit_Score]]&lt;650,"580-649",tbl_loans_clean[[#This Row],[Credit_Score]]&lt;700,"650-699",tbl_loans_clean[[#This Row],[Credit_Score]]&lt;750,"700-749",TRUE,"750+")</f>
        <v>700-749</v>
      </c>
    </row>
    <row r="462" spans="1:15" x14ac:dyDescent="0.35">
      <c r="A462" t="s">
        <v>700</v>
      </c>
      <c r="B462" t="s">
        <v>28</v>
      </c>
      <c r="C462" t="s">
        <v>22</v>
      </c>
      <c r="D462" t="s">
        <v>17</v>
      </c>
      <c r="E462">
        <v>71668</v>
      </c>
      <c r="F462">
        <v>6.02</v>
      </c>
      <c r="G462">
        <v>48</v>
      </c>
      <c r="H462">
        <v>135792</v>
      </c>
      <c r="I462">
        <v>604</v>
      </c>
      <c r="J462" t="s">
        <v>35</v>
      </c>
      <c r="K462">
        <v>10.4</v>
      </c>
      <c r="L462">
        <v>9.3000000000000007</v>
      </c>
      <c r="M462" t="s">
        <v>23</v>
      </c>
      <c r="N462" s="7">
        <v>45052</v>
      </c>
      <c r="O462" t="str" cm="1">
        <f t="array" ref="O462">_xlfn.IFS(tbl_loans_clean[[#This Row],[Credit_Score]]&lt;650,"580-649",tbl_loans_clean[[#This Row],[Credit_Score]]&lt;700,"650-699",tbl_loans_clean[[#This Row],[Credit_Score]]&lt;750,"700-749",TRUE,"750+")</f>
        <v>580-649</v>
      </c>
    </row>
    <row r="463" spans="1:15" x14ac:dyDescent="0.35">
      <c r="A463" t="s">
        <v>221</v>
      </c>
      <c r="B463" t="s">
        <v>30</v>
      </c>
      <c r="C463" t="s">
        <v>22</v>
      </c>
      <c r="D463" t="s">
        <v>17</v>
      </c>
      <c r="E463">
        <v>746432</v>
      </c>
      <c r="F463">
        <v>13.32</v>
      </c>
      <c r="G463">
        <v>36</v>
      </c>
      <c r="H463">
        <v>171314</v>
      </c>
      <c r="I463">
        <v>594</v>
      </c>
      <c r="J463" t="s">
        <v>18</v>
      </c>
      <c r="K463">
        <v>22</v>
      </c>
      <c r="L463">
        <v>9.8000000000000007</v>
      </c>
      <c r="M463" t="s">
        <v>23</v>
      </c>
      <c r="N463" s="7">
        <v>45054</v>
      </c>
      <c r="O463" t="str" cm="1">
        <f t="array" ref="O463">_xlfn.IFS(tbl_loans_clean[[#This Row],[Credit_Score]]&lt;650,"580-649",tbl_loans_clean[[#This Row],[Credit_Score]]&lt;700,"650-699",tbl_loans_clean[[#This Row],[Credit_Score]]&lt;750,"700-749",TRUE,"750+")</f>
        <v>580-649</v>
      </c>
    </row>
    <row r="464" spans="1:15" x14ac:dyDescent="0.35">
      <c r="A464" t="s">
        <v>716</v>
      </c>
      <c r="B464" t="s">
        <v>15</v>
      </c>
      <c r="C464" t="s">
        <v>22</v>
      </c>
      <c r="D464" t="s">
        <v>52</v>
      </c>
      <c r="E464">
        <v>437680</v>
      </c>
      <c r="F464">
        <v>5.89</v>
      </c>
      <c r="G464">
        <v>300</v>
      </c>
      <c r="H464">
        <v>76665</v>
      </c>
      <c r="I464">
        <v>816</v>
      </c>
      <c r="J464" t="s">
        <v>18</v>
      </c>
      <c r="K464">
        <v>10.1</v>
      </c>
      <c r="L464">
        <v>11.8</v>
      </c>
      <c r="M464" t="s">
        <v>23</v>
      </c>
      <c r="N464" s="7">
        <v>45054</v>
      </c>
      <c r="O464" t="str" cm="1">
        <f t="array" ref="O464">_xlfn.IFS(tbl_loans_clean[[#This Row],[Credit_Score]]&lt;650,"580-649",tbl_loans_clean[[#This Row],[Credit_Score]]&lt;700,"650-699",tbl_loans_clean[[#This Row],[Credit_Score]]&lt;750,"700-749",TRUE,"750+")</f>
        <v>750+</v>
      </c>
    </row>
    <row r="465" spans="1:15" x14ac:dyDescent="0.35">
      <c r="A465" t="s">
        <v>468</v>
      </c>
      <c r="B465" t="s">
        <v>15</v>
      </c>
      <c r="C465" t="s">
        <v>22</v>
      </c>
      <c r="D465" t="s">
        <v>38</v>
      </c>
      <c r="E465">
        <v>286755</v>
      </c>
      <c r="F465">
        <v>13.24</v>
      </c>
      <c r="G465">
        <v>48</v>
      </c>
      <c r="H465">
        <v>33730</v>
      </c>
      <c r="I465">
        <v>805</v>
      </c>
      <c r="J465" t="s">
        <v>18</v>
      </c>
      <c r="K465">
        <v>13.9</v>
      </c>
      <c r="L465">
        <v>42.9</v>
      </c>
      <c r="M465" t="s">
        <v>23</v>
      </c>
      <c r="N465" s="7">
        <v>45057</v>
      </c>
      <c r="O465" t="str" cm="1">
        <f t="array" ref="O465">_xlfn.IFS(tbl_loans_clean[[#This Row],[Credit_Score]]&lt;650,"580-649",tbl_loans_clean[[#This Row],[Credit_Score]]&lt;700,"650-699",tbl_loans_clean[[#This Row],[Credit_Score]]&lt;750,"700-749",TRUE,"750+")</f>
        <v>750+</v>
      </c>
    </row>
    <row r="466" spans="1:15" x14ac:dyDescent="0.35">
      <c r="A466" t="s">
        <v>241</v>
      </c>
      <c r="B466" t="s">
        <v>28</v>
      </c>
      <c r="C466" t="s">
        <v>22</v>
      </c>
      <c r="D466" t="s">
        <v>52</v>
      </c>
      <c r="E466">
        <v>16390</v>
      </c>
      <c r="F466">
        <v>13.68</v>
      </c>
      <c r="G466">
        <v>60</v>
      </c>
      <c r="H466">
        <v>62069</v>
      </c>
      <c r="I466">
        <v>699</v>
      </c>
      <c r="J466" t="s">
        <v>18</v>
      </c>
      <c r="K466">
        <v>10.8</v>
      </c>
      <c r="L466">
        <v>18.600000000000001</v>
      </c>
      <c r="M466" t="s">
        <v>48</v>
      </c>
      <c r="N466" s="7">
        <v>45060</v>
      </c>
      <c r="O466" t="str" cm="1">
        <f t="array" ref="O466">_xlfn.IFS(tbl_loans_clean[[#This Row],[Credit_Score]]&lt;650,"580-649",tbl_loans_clean[[#This Row],[Credit_Score]]&lt;700,"650-699",tbl_loans_clean[[#This Row],[Credit_Score]]&lt;750,"700-749",TRUE,"750+")</f>
        <v>650-699</v>
      </c>
    </row>
    <row r="467" spans="1:15" x14ac:dyDescent="0.35">
      <c r="A467" t="s">
        <v>555</v>
      </c>
      <c r="B467" t="s">
        <v>37</v>
      </c>
      <c r="C467" t="s">
        <v>34</v>
      </c>
      <c r="D467" t="s">
        <v>73</v>
      </c>
      <c r="E467">
        <v>273083</v>
      </c>
      <c r="F467">
        <v>7.74</v>
      </c>
      <c r="G467">
        <v>240</v>
      </c>
      <c r="H467">
        <v>130552</v>
      </c>
      <c r="I467">
        <v>823</v>
      </c>
      <c r="J467" t="s">
        <v>39</v>
      </c>
      <c r="K467">
        <v>22.6</v>
      </c>
      <c r="L467">
        <v>43.8</v>
      </c>
      <c r="M467" t="s">
        <v>19</v>
      </c>
      <c r="N467" s="7">
        <v>45061</v>
      </c>
      <c r="O467" t="str" cm="1">
        <f t="array" ref="O467">_xlfn.IFS(tbl_loans_clean[[#This Row],[Credit_Score]]&lt;650,"580-649",tbl_loans_clean[[#This Row],[Credit_Score]]&lt;700,"650-699",tbl_loans_clean[[#This Row],[Credit_Score]]&lt;750,"700-749",TRUE,"750+")</f>
        <v>750+</v>
      </c>
    </row>
    <row r="468" spans="1:15" x14ac:dyDescent="0.35">
      <c r="A468" t="s">
        <v>471</v>
      </c>
      <c r="B468" t="s">
        <v>30</v>
      </c>
      <c r="C468" t="s">
        <v>22</v>
      </c>
      <c r="D468" t="s">
        <v>45</v>
      </c>
      <c r="E468">
        <v>244719</v>
      </c>
      <c r="F468">
        <v>14.46</v>
      </c>
      <c r="G468">
        <v>36</v>
      </c>
      <c r="H468">
        <v>204421</v>
      </c>
      <c r="I468">
        <v>689</v>
      </c>
      <c r="J468" t="s">
        <v>26</v>
      </c>
      <c r="K468">
        <v>5.8</v>
      </c>
      <c r="L468">
        <v>13.5</v>
      </c>
      <c r="M468" t="s">
        <v>48</v>
      </c>
      <c r="N468" s="7">
        <v>45062</v>
      </c>
      <c r="O468" t="str" cm="1">
        <f t="array" ref="O468">_xlfn.IFS(tbl_loans_clean[[#This Row],[Credit_Score]]&lt;650,"580-649",tbl_loans_clean[[#This Row],[Credit_Score]]&lt;700,"650-699",tbl_loans_clean[[#This Row],[Credit_Score]]&lt;750,"700-749",TRUE,"750+")</f>
        <v>650-699</v>
      </c>
    </row>
    <row r="469" spans="1:15" x14ac:dyDescent="0.35">
      <c r="A469" t="s">
        <v>773</v>
      </c>
      <c r="B469" t="s">
        <v>25</v>
      </c>
      <c r="C469" t="s">
        <v>16</v>
      </c>
      <c r="D469" t="s">
        <v>17</v>
      </c>
      <c r="E469">
        <v>98526</v>
      </c>
      <c r="F469">
        <v>10.75</v>
      </c>
      <c r="G469">
        <v>60</v>
      </c>
      <c r="H469">
        <v>141758</v>
      </c>
      <c r="I469">
        <v>725</v>
      </c>
      <c r="J469" t="s">
        <v>35</v>
      </c>
      <c r="K469">
        <v>20.9</v>
      </c>
      <c r="L469">
        <v>8.5</v>
      </c>
      <c r="M469" t="s">
        <v>23</v>
      </c>
      <c r="N469" s="7">
        <v>45063</v>
      </c>
      <c r="O469" t="str" cm="1">
        <f t="array" ref="O469">_xlfn.IFS(tbl_loans_clean[[#This Row],[Credit_Score]]&lt;650,"580-649",tbl_loans_clean[[#This Row],[Credit_Score]]&lt;700,"650-699",tbl_loans_clean[[#This Row],[Credit_Score]]&lt;750,"700-749",TRUE,"750+")</f>
        <v>700-749</v>
      </c>
    </row>
    <row r="470" spans="1:15" x14ac:dyDescent="0.35">
      <c r="A470" t="s">
        <v>246</v>
      </c>
      <c r="B470" t="s">
        <v>30</v>
      </c>
      <c r="C470" t="s">
        <v>16</v>
      </c>
      <c r="D470" t="s">
        <v>38</v>
      </c>
      <c r="E470">
        <v>344208</v>
      </c>
      <c r="F470">
        <v>6.14</v>
      </c>
      <c r="G470">
        <v>60</v>
      </c>
      <c r="H470">
        <v>198205</v>
      </c>
      <c r="I470">
        <v>709</v>
      </c>
      <c r="J470" t="s">
        <v>39</v>
      </c>
      <c r="K470">
        <v>10.1</v>
      </c>
      <c r="L470">
        <v>9.8000000000000007</v>
      </c>
      <c r="M470" t="s">
        <v>23</v>
      </c>
      <c r="N470" s="7">
        <v>45066</v>
      </c>
      <c r="O470" t="str" cm="1">
        <f t="array" ref="O470">_xlfn.IFS(tbl_loans_clean[[#This Row],[Credit_Score]]&lt;650,"580-649",tbl_loans_clean[[#This Row],[Credit_Score]]&lt;700,"650-699",tbl_loans_clean[[#This Row],[Credit_Score]]&lt;750,"700-749",TRUE,"750+")</f>
        <v>700-749</v>
      </c>
    </row>
    <row r="471" spans="1:15" x14ac:dyDescent="0.35">
      <c r="A471" t="s">
        <v>613</v>
      </c>
      <c r="B471" t="s">
        <v>25</v>
      </c>
      <c r="C471" t="s">
        <v>22</v>
      </c>
      <c r="D471" t="s">
        <v>17</v>
      </c>
      <c r="E471">
        <v>303335</v>
      </c>
      <c r="F471">
        <v>7.22</v>
      </c>
      <c r="G471">
        <v>300</v>
      </c>
      <c r="H471">
        <v>198062</v>
      </c>
      <c r="I471">
        <v>711</v>
      </c>
      <c r="J471" t="s">
        <v>18</v>
      </c>
      <c r="K471">
        <v>24.1</v>
      </c>
      <c r="L471">
        <v>35.6</v>
      </c>
      <c r="M471" t="s">
        <v>23</v>
      </c>
      <c r="N471" s="7">
        <v>45066</v>
      </c>
      <c r="O471" t="str" cm="1">
        <f t="array" ref="O471">_xlfn.IFS(tbl_loans_clean[[#This Row],[Credit_Score]]&lt;650,"580-649",tbl_loans_clean[[#This Row],[Credit_Score]]&lt;700,"650-699",tbl_loans_clean[[#This Row],[Credit_Score]]&lt;750,"700-749",TRUE,"750+")</f>
        <v>700-749</v>
      </c>
    </row>
    <row r="472" spans="1:15" x14ac:dyDescent="0.35">
      <c r="A472" t="s">
        <v>747</v>
      </c>
      <c r="B472" t="s">
        <v>110</v>
      </c>
      <c r="C472" t="s">
        <v>22</v>
      </c>
      <c r="D472" t="s">
        <v>32</v>
      </c>
      <c r="E472">
        <v>12415</v>
      </c>
      <c r="F472">
        <v>3.76</v>
      </c>
      <c r="G472">
        <v>120</v>
      </c>
      <c r="H472">
        <v>191045</v>
      </c>
      <c r="I472">
        <v>731</v>
      </c>
      <c r="J472" t="s">
        <v>26</v>
      </c>
      <c r="K472">
        <v>16.899999999999999</v>
      </c>
      <c r="L472">
        <v>43.3</v>
      </c>
      <c r="M472" t="s">
        <v>19</v>
      </c>
      <c r="N472" s="7">
        <v>45069</v>
      </c>
      <c r="O472" t="str" cm="1">
        <f t="array" ref="O472">_xlfn.IFS(tbl_loans_clean[[#This Row],[Credit_Score]]&lt;650,"580-649",tbl_loans_clean[[#This Row],[Credit_Score]]&lt;700,"650-699",tbl_loans_clean[[#This Row],[Credit_Score]]&lt;750,"700-749",TRUE,"750+")</f>
        <v>700-749</v>
      </c>
    </row>
    <row r="473" spans="1:15" x14ac:dyDescent="0.35">
      <c r="A473" t="s">
        <v>798</v>
      </c>
      <c r="B473" t="s">
        <v>28</v>
      </c>
      <c r="C473" t="s">
        <v>16</v>
      </c>
      <c r="D473" t="s">
        <v>73</v>
      </c>
      <c r="E473">
        <v>707495</v>
      </c>
      <c r="F473">
        <v>13.77</v>
      </c>
      <c r="G473">
        <v>240</v>
      </c>
      <c r="H473">
        <v>69984</v>
      </c>
      <c r="I473">
        <v>738</v>
      </c>
      <c r="J473" t="s">
        <v>18</v>
      </c>
      <c r="K473">
        <v>6</v>
      </c>
      <c r="L473">
        <v>18.3</v>
      </c>
      <c r="M473" t="s">
        <v>19</v>
      </c>
      <c r="N473" s="7">
        <v>45069</v>
      </c>
      <c r="O473" t="str" cm="1">
        <f t="array" ref="O473">_xlfn.IFS(tbl_loans_clean[[#This Row],[Credit_Score]]&lt;650,"580-649",tbl_loans_clean[[#This Row],[Credit_Score]]&lt;700,"650-699",tbl_loans_clean[[#This Row],[Credit_Score]]&lt;750,"700-749",TRUE,"750+")</f>
        <v>700-749</v>
      </c>
    </row>
    <row r="474" spans="1:15" x14ac:dyDescent="0.35">
      <c r="A474" t="s">
        <v>128</v>
      </c>
      <c r="B474" t="s">
        <v>28</v>
      </c>
      <c r="C474" t="s">
        <v>22</v>
      </c>
      <c r="D474" t="s">
        <v>32</v>
      </c>
      <c r="E474">
        <v>604253</v>
      </c>
      <c r="F474">
        <v>6.45</v>
      </c>
      <c r="G474">
        <v>12</v>
      </c>
      <c r="H474">
        <v>219811</v>
      </c>
      <c r="I474">
        <v>777</v>
      </c>
      <c r="J474" t="s">
        <v>18</v>
      </c>
      <c r="K474">
        <v>7.2</v>
      </c>
      <c r="L474">
        <v>13.1</v>
      </c>
      <c r="M474" t="s">
        <v>23</v>
      </c>
      <c r="N474" s="7">
        <v>45070</v>
      </c>
      <c r="O474" t="str" cm="1">
        <f t="array" ref="O474">_xlfn.IFS(tbl_loans_clean[[#This Row],[Credit_Score]]&lt;650,"580-649",tbl_loans_clean[[#This Row],[Credit_Score]]&lt;700,"650-699",tbl_loans_clean[[#This Row],[Credit_Score]]&lt;750,"700-749",TRUE,"750+")</f>
        <v>750+</v>
      </c>
    </row>
    <row r="475" spans="1:15" x14ac:dyDescent="0.35">
      <c r="A475" t="s">
        <v>228</v>
      </c>
      <c r="B475" t="s">
        <v>15</v>
      </c>
      <c r="C475" t="s">
        <v>22</v>
      </c>
      <c r="D475" t="s">
        <v>45</v>
      </c>
      <c r="E475">
        <v>521637</v>
      </c>
      <c r="F475">
        <v>8.0299999999999994</v>
      </c>
      <c r="G475">
        <v>48</v>
      </c>
      <c r="H475">
        <v>102286</v>
      </c>
      <c r="I475">
        <v>693</v>
      </c>
      <c r="J475" t="s">
        <v>18</v>
      </c>
      <c r="K475">
        <v>13.2</v>
      </c>
      <c r="L475">
        <v>25.4</v>
      </c>
      <c r="M475" t="s">
        <v>48</v>
      </c>
      <c r="N475" s="7">
        <v>45070</v>
      </c>
      <c r="O475" t="str" cm="1">
        <f t="array" ref="O475">_xlfn.IFS(tbl_loans_clean[[#This Row],[Credit_Score]]&lt;650,"580-649",tbl_loans_clean[[#This Row],[Credit_Score]]&lt;700,"650-699",tbl_loans_clean[[#This Row],[Credit_Score]]&lt;750,"700-749",TRUE,"750+")</f>
        <v>650-699</v>
      </c>
    </row>
    <row r="476" spans="1:15" x14ac:dyDescent="0.35">
      <c r="A476" t="s">
        <v>739</v>
      </c>
      <c r="B476" t="s">
        <v>15</v>
      </c>
      <c r="C476" t="s">
        <v>22</v>
      </c>
      <c r="D476" t="s">
        <v>17</v>
      </c>
      <c r="E476">
        <v>549279</v>
      </c>
      <c r="F476">
        <v>3.59</v>
      </c>
      <c r="G476">
        <v>300</v>
      </c>
      <c r="H476">
        <v>130272</v>
      </c>
      <c r="I476">
        <v>618</v>
      </c>
      <c r="J476" t="s">
        <v>39</v>
      </c>
      <c r="K476">
        <v>0.5</v>
      </c>
      <c r="L476">
        <v>34.5</v>
      </c>
      <c r="M476" t="s">
        <v>23</v>
      </c>
      <c r="N476" s="7">
        <v>45070</v>
      </c>
      <c r="O476" t="str" cm="1">
        <f t="array" ref="O476">_xlfn.IFS(tbl_loans_clean[[#This Row],[Credit_Score]]&lt;650,"580-649",tbl_loans_clean[[#This Row],[Credit_Score]]&lt;700,"650-699",tbl_loans_clean[[#This Row],[Credit_Score]]&lt;750,"700-749",TRUE,"750+")</f>
        <v>580-649</v>
      </c>
    </row>
    <row r="477" spans="1:15" x14ac:dyDescent="0.35">
      <c r="A477" t="s">
        <v>121</v>
      </c>
      <c r="B477" t="s">
        <v>37</v>
      </c>
      <c r="C477" t="s">
        <v>22</v>
      </c>
      <c r="D477" t="s">
        <v>17</v>
      </c>
      <c r="E477">
        <v>63478</v>
      </c>
      <c r="F477">
        <v>7.98</v>
      </c>
      <c r="G477">
        <v>60</v>
      </c>
      <c r="H477">
        <v>171687</v>
      </c>
      <c r="I477">
        <v>826</v>
      </c>
      <c r="J477" t="s">
        <v>26</v>
      </c>
      <c r="K477">
        <v>13.5</v>
      </c>
      <c r="L477">
        <v>34.9</v>
      </c>
      <c r="M477" t="s">
        <v>19</v>
      </c>
      <c r="N477" s="7">
        <v>45071</v>
      </c>
      <c r="O477" t="str" cm="1">
        <f t="array" ref="O477">_xlfn.IFS(tbl_loans_clean[[#This Row],[Credit_Score]]&lt;650,"580-649",tbl_loans_clean[[#This Row],[Credit_Score]]&lt;700,"650-699",tbl_loans_clean[[#This Row],[Credit_Score]]&lt;750,"700-749",TRUE,"750+")</f>
        <v>750+</v>
      </c>
    </row>
    <row r="478" spans="1:15" x14ac:dyDescent="0.35">
      <c r="A478" t="s">
        <v>496</v>
      </c>
      <c r="B478" t="s">
        <v>30</v>
      </c>
      <c r="C478" t="s">
        <v>16</v>
      </c>
      <c r="D478" t="s">
        <v>43</v>
      </c>
      <c r="E478">
        <v>593398</v>
      </c>
      <c r="F478">
        <v>11.84</v>
      </c>
      <c r="G478">
        <v>60</v>
      </c>
      <c r="H478">
        <v>219830</v>
      </c>
      <c r="I478">
        <v>584</v>
      </c>
      <c r="J478" t="s">
        <v>18</v>
      </c>
      <c r="K478">
        <v>23.2</v>
      </c>
      <c r="L478">
        <v>24.6</v>
      </c>
      <c r="M478" t="s">
        <v>23</v>
      </c>
      <c r="N478" s="7">
        <v>45071</v>
      </c>
      <c r="O478" t="str" cm="1">
        <f t="array" ref="O478">_xlfn.IFS(tbl_loans_clean[[#This Row],[Credit_Score]]&lt;650,"580-649",tbl_loans_clean[[#This Row],[Credit_Score]]&lt;700,"650-699",tbl_loans_clean[[#This Row],[Credit_Score]]&lt;750,"700-749",TRUE,"750+")</f>
        <v>580-649</v>
      </c>
    </row>
    <row r="479" spans="1:15" x14ac:dyDescent="0.35">
      <c r="A479" t="s">
        <v>511</v>
      </c>
      <c r="B479" t="s">
        <v>21</v>
      </c>
      <c r="C479" t="s">
        <v>22</v>
      </c>
      <c r="D479" t="s">
        <v>17</v>
      </c>
      <c r="E479">
        <v>57428</v>
      </c>
      <c r="F479">
        <v>7.6</v>
      </c>
      <c r="G479">
        <v>60</v>
      </c>
      <c r="H479">
        <v>180364</v>
      </c>
      <c r="I479">
        <v>706</v>
      </c>
      <c r="J479" t="s">
        <v>35</v>
      </c>
      <c r="K479">
        <v>1.9</v>
      </c>
      <c r="L479">
        <v>28.2</v>
      </c>
      <c r="M479" t="s">
        <v>19</v>
      </c>
      <c r="N479" s="7">
        <v>45071</v>
      </c>
      <c r="O479" t="str" cm="1">
        <f t="array" ref="O479">_xlfn.IFS(tbl_loans_clean[[#This Row],[Credit_Score]]&lt;650,"580-649",tbl_loans_clean[[#This Row],[Credit_Score]]&lt;700,"650-699",tbl_loans_clean[[#This Row],[Credit_Score]]&lt;750,"700-749",TRUE,"750+")</f>
        <v>700-749</v>
      </c>
    </row>
    <row r="480" spans="1:15" x14ac:dyDescent="0.35">
      <c r="A480" t="s">
        <v>605</v>
      </c>
      <c r="B480" t="s">
        <v>30</v>
      </c>
      <c r="C480" t="s">
        <v>16</v>
      </c>
      <c r="D480" t="s">
        <v>43</v>
      </c>
      <c r="E480">
        <v>426217</v>
      </c>
      <c r="F480">
        <v>8.17</v>
      </c>
      <c r="G480">
        <v>300</v>
      </c>
      <c r="H480">
        <v>55856</v>
      </c>
      <c r="I480">
        <v>797</v>
      </c>
      <c r="J480" t="s">
        <v>26</v>
      </c>
      <c r="K480">
        <v>3.3</v>
      </c>
      <c r="L480">
        <v>25.9</v>
      </c>
      <c r="M480" t="s">
        <v>23</v>
      </c>
      <c r="N480" s="7">
        <v>45071</v>
      </c>
      <c r="O480" t="str" cm="1">
        <f t="array" ref="O480">_xlfn.IFS(tbl_loans_clean[[#This Row],[Credit_Score]]&lt;650,"580-649",tbl_loans_clean[[#This Row],[Credit_Score]]&lt;700,"650-699",tbl_loans_clean[[#This Row],[Credit_Score]]&lt;750,"700-749",TRUE,"750+")</f>
        <v>750+</v>
      </c>
    </row>
    <row r="481" spans="1:15" x14ac:dyDescent="0.35">
      <c r="A481" t="s">
        <v>141</v>
      </c>
      <c r="B481" t="s">
        <v>30</v>
      </c>
      <c r="C481" t="s">
        <v>22</v>
      </c>
      <c r="D481" t="s">
        <v>52</v>
      </c>
      <c r="E481">
        <v>699335</v>
      </c>
      <c r="F481">
        <v>3.37</v>
      </c>
      <c r="G481">
        <v>120</v>
      </c>
      <c r="H481">
        <v>195477</v>
      </c>
      <c r="I481">
        <v>766</v>
      </c>
      <c r="J481" t="s">
        <v>39</v>
      </c>
      <c r="K481">
        <v>0.9</v>
      </c>
      <c r="L481">
        <v>46.5</v>
      </c>
      <c r="M481" t="s">
        <v>19</v>
      </c>
      <c r="N481" s="7">
        <v>45072</v>
      </c>
      <c r="O481" t="str" cm="1">
        <f t="array" ref="O481">_xlfn.IFS(tbl_loans_clean[[#This Row],[Credit_Score]]&lt;650,"580-649",tbl_loans_clean[[#This Row],[Credit_Score]]&lt;700,"650-699",tbl_loans_clean[[#This Row],[Credit_Score]]&lt;750,"700-749",TRUE,"750+")</f>
        <v>750+</v>
      </c>
    </row>
    <row r="482" spans="1:15" x14ac:dyDescent="0.35">
      <c r="A482" t="s">
        <v>280</v>
      </c>
      <c r="B482" t="s">
        <v>30</v>
      </c>
      <c r="C482" t="s">
        <v>22</v>
      </c>
      <c r="D482" t="s">
        <v>17</v>
      </c>
      <c r="E482">
        <v>73487</v>
      </c>
      <c r="F482">
        <v>12.67</v>
      </c>
      <c r="G482">
        <v>48</v>
      </c>
      <c r="H482">
        <v>54140</v>
      </c>
      <c r="I482">
        <v>753</v>
      </c>
      <c r="J482" t="s">
        <v>18</v>
      </c>
      <c r="K482">
        <v>7.5</v>
      </c>
      <c r="L482">
        <v>11.1</v>
      </c>
      <c r="M482" t="s">
        <v>23</v>
      </c>
      <c r="N482" s="7">
        <v>45075</v>
      </c>
      <c r="O482" t="str" cm="1">
        <f t="array" ref="O482">_xlfn.IFS(tbl_loans_clean[[#This Row],[Credit_Score]]&lt;650,"580-649",tbl_loans_clean[[#This Row],[Credit_Score]]&lt;700,"650-699",tbl_loans_clean[[#This Row],[Credit_Score]]&lt;750,"700-749",TRUE,"750+")</f>
        <v>750+</v>
      </c>
    </row>
    <row r="483" spans="1:15" x14ac:dyDescent="0.35">
      <c r="A483" t="s">
        <v>392</v>
      </c>
      <c r="B483" t="s">
        <v>15</v>
      </c>
      <c r="C483" t="s">
        <v>16</v>
      </c>
      <c r="D483" t="s">
        <v>17</v>
      </c>
      <c r="E483">
        <v>423815</v>
      </c>
      <c r="F483">
        <v>8.67</v>
      </c>
      <c r="G483">
        <v>120</v>
      </c>
      <c r="H483">
        <v>186744</v>
      </c>
      <c r="I483">
        <v>724</v>
      </c>
      <c r="J483" t="s">
        <v>18</v>
      </c>
      <c r="K483">
        <v>9.1999999999999993</v>
      </c>
      <c r="L483">
        <v>30.9</v>
      </c>
      <c r="M483" t="s">
        <v>48</v>
      </c>
      <c r="N483" s="7">
        <v>45080</v>
      </c>
      <c r="O483" t="str" cm="1">
        <f t="array" ref="O483">_xlfn.IFS(tbl_loans_clean[[#This Row],[Credit_Score]]&lt;650,"580-649",tbl_loans_clean[[#This Row],[Credit_Score]]&lt;700,"650-699",tbl_loans_clean[[#This Row],[Credit_Score]]&lt;750,"700-749",TRUE,"750+")</f>
        <v>700-749</v>
      </c>
    </row>
    <row r="484" spans="1:15" x14ac:dyDescent="0.35">
      <c r="A484" t="s">
        <v>160</v>
      </c>
      <c r="B484" t="s">
        <v>15</v>
      </c>
      <c r="C484" t="s">
        <v>22</v>
      </c>
      <c r="D484" t="s">
        <v>17</v>
      </c>
      <c r="E484">
        <v>720371</v>
      </c>
      <c r="F484">
        <v>10.89</v>
      </c>
      <c r="G484">
        <v>120</v>
      </c>
      <c r="H484">
        <v>135573</v>
      </c>
      <c r="I484">
        <v>777</v>
      </c>
      <c r="J484" t="s">
        <v>18</v>
      </c>
      <c r="K484">
        <v>8.5</v>
      </c>
      <c r="L484">
        <v>43.5</v>
      </c>
      <c r="M484" t="s">
        <v>19</v>
      </c>
      <c r="N484" s="7">
        <v>45085</v>
      </c>
      <c r="O484" t="str" cm="1">
        <f t="array" ref="O484">_xlfn.IFS(tbl_loans_clean[[#This Row],[Credit_Score]]&lt;650,"580-649",tbl_loans_clean[[#This Row],[Credit_Score]]&lt;700,"650-699",tbl_loans_clean[[#This Row],[Credit_Score]]&lt;750,"700-749",TRUE,"750+")</f>
        <v>750+</v>
      </c>
    </row>
    <row r="485" spans="1:15" x14ac:dyDescent="0.35">
      <c r="A485" t="s">
        <v>200</v>
      </c>
      <c r="B485" t="s">
        <v>28</v>
      </c>
      <c r="C485" t="s">
        <v>16</v>
      </c>
      <c r="D485" t="s">
        <v>32</v>
      </c>
      <c r="E485">
        <v>126668</v>
      </c>
      <c r="F485">
        <v>10.06</v>
      </c>
      <c r="G485">
        <v>24</v>
      </c>
      <c r="H485">
        <v>39569</v>
      </c>
      <c r="I485">
        <v>803</v>
      </c>
      <c r="J485" t="s">
        <v>26</v>
      </c>
      <c r="K485">
        <v>8.8000000000000007</v>
      </c>
      <c r="L485">
        <v>14.8</v>
      </c>
      <c r="M485" t="s">
        <v>23</v>
      </c>
      <c r="N485" s="7">
        <v>45085</v>
      </c>
      <c r="O485" t="str" cm="1">
        <f t="array" ref="O485">_xlfn.IFS(tbl_loans_clean[[#This Row],[Credit_Score]]&lt;650,"580-649",tbl_loans_clean[[#This Row],[Credit_Score]]&lt;700,"650-699",tbl_loans_clean[[#This Row],[Credit_Score]]&lt;750,"700-749",TRUE,"750+")</f>
        <v>750+</v>
      </c>
    </row>
    <row r="486" spans="1:15" x14ac:dyDescent="0.35">
      <c r="A486" t="s">
        <v>270</v>
      </c>
      <c r="B486" t="s">
        <v>28</v>
      </c>
      <c r="C486" t="s">
        <v>34</v>
      </c>
      <c r="D486" t="s">
        <v>17</v>
      </c>
      <c r="E486">
        <v>148521</v>
      </c>
      <c r="F486">
        <v>8.91</v>
      </c>
      <c r="G486">
        <v>240</v>
      </c>
      <c r="H486">
        <v>165161</v>
      </c>
      <c r="I486">
        <v>844</v>
      </c>
      <c r="J486" t="s">
        <v>18</v>
      </c>
      <c r="K486">
        <v>12.1</v>
      </c>
      <c r="L486">
        <v>10.1</v>
      </c>
      <c r="M486" t="s">
        <v>23</v>
      </c>
      <c r="N486" s="7">
        <v>45088</v>
      </c>
      <c r="O486" t="str" cm="1">
        <f t="array" ref="O486">_xlfn.IFS(tbl_loans_clean[[#This Row],[Credit_Score]]&lt;650,"580-649",tbl_loans_clean[[#This Row],[Credit_Score]]&lt;700,"650-699",tbl_loans_clean[[#This Row],[Credit_Score]]&lt;750,"700-749",TRUE,"750+")</f>
        <v>750+</v>
      </c>
    </row>
    <row r="487" spans="1:15" x14ac:dyDescent="0.35">
      <c r="A487" t="s">
        <v>517</v>
      </c>
      <c r="B487" t="s">
        <v>303</v>
      </c>
      <c r="C487" t="s">
        <v>22</v>
      </c>
      <c r="D487" t="s">
        <v>43</v>
      </c>
      <c r="E487">
        <v>628222</v>
      </c>
      <c r="F487">
        <v>9.16</v>
      </c>
      <c r="G487">
        <v>60</v>
      </c>
      <c r="H487">
        <v>49638</v>
      </c>
      <c r="I487">
        <v>767</v>
      </c>
      <c r="J487" t="s">
        <v>26</v>
      </c>
      <c r="K487">
        <v>2.2000000000000002</v>
      </c>
      <c r="L487">
        <v>29.9</v>
      </c>
      <c r="M487" t="s">
        <v>55</v>
      </c>
      <c r="N487" s="7">
        <v>45088</v>
      </c>
      <c r="O487" t="str" cm="1">
        <f t="array" ref="O487">_xlfn.IFS(tbl_loans_clean[[#This Row],[Credit_Score]]&lt;650,"580-649",tbl_loans_clean[[#This Row],[Credit_Score]]&lt;700,"650-699",tbl_loans_clean[[#This Row],[Credit_Score]]&lt;750,"700-749",TRUE,"750+")</f>
        <v>750+</v>
      </c>
    </row>
    <row r="488" spans="1:15" x14ac:dyDescent="0.35">
      <c r="A488" t="s">
        <v>301</v>
      </c>
      <c r="B488" t="s">
        <v>28</v>
      </c>
      <c r="C488" t="s">
        <v>34</v>
      </c>
      <c r="D488" t="s">
        <v>38</v>
      </c>
      <c r="E488">
        <v>567621</v>
      </c>
      <c r="F488">
        <v>5.93</v>
      </c>
      <c r="G488">
        <v>60</v>
      </c>
      <c r="H488">
        <v>90320</v>
      </c>
      <c r="I488">
        <v>723</v>
      </c>
      <c r="J488" t="s">
        <v>18</v>
      </c>
      <c r="K488">
        <v>21.1</v>
      </c>
      <c r="L488">
        <v>20.100000000000001</v>
      </c>
      <c r="M488" t="s">
        <v>48</v>
      </c>
      <c r="N488" s="7">
        <v>45092</v>
      </c>
      <c r="O488" t="str" cm="1">
        <f t="array" ref="O488">_xlfn.IFS(tbl_loans_clean[[#This Row],[Credit_Score]]&lt;650,"580-649",tbl_loans_clean[[#This Row],[Credit_Score]]&lt;700,"650-699",tbl_loans_clean[[#This Row],[Credit_Score]]&lt;750,"700-749",TRUE,"750+")</f>
        <v>700-749</v>
      </c>
    </row>
    <row r="489" spans="1:15" x14ac:dyDescent="0.35">
      <c r="A489" t="s">
        <v>444</v>
      </c>
      <c r="B489" t="s">
        <v>15</v>
      </c>
      <c r="C489" t="s">
        <v>22</v>
      </c>
      <c r="D489" t="s">
        <v>73</v>
      </c>
      <c r="E489">
        <v>62134</v>
      </c>
      <c r="F489">
        <v>5.36</v>
      </c>
      <c r="G489">
        <v>300</v>
      </c>
      <c r="H489">
        <v>57709</v>
      </c>
      <c r="I489">
        <v>827</v>
      </c>
      <c r="J489" t="s">
        <v>18</v>
      </c>
      <c r="K489">
        <v>6</v>
      </c>
      <c r="L489">
        <v>42.9</v>
      </c>
      <c r="M489" t="s">
        <v>23</v>
      </c>
      <c r="N489" s="7">
        <v>45092</v>
      </c>
      <c r="O489" t="str" cm="1">
        <f t="array" ref="O489">_xlfn.IFS(tbl_loans_clean[[#This Row],[Credit_Score]]&lt;650,"580-649",tbl_loans_clean[[#This Row],[Credit_Score]]&lt;700,"650-699",tbl_loans_clean[[#This Row],[Credit_Score]]&lt;750,"700-749",TRUE,"750+")</f>
        <v>750+</v>
      </c>
    </row>
    <row r="490" spans="1:15" x14ac:dyDescent="0.35">
      <c r="A490" t="s">
        <v>139</v>
      </c>
      <c r="B490" t="s">
        <v>30</v>
      </c>
      <c r="C490" t="s">
        <v>22</v>
      </c>
      <c r="D490" t="s">
        <v>52</v>
      </c>
      <c r="E490">
        <v>244779</v>
      </c>
      <c r="F490">
        <v>10.53</v>
      </c>
      <c r="G490">
        <v>240</v>
      </c>
      <c r="H490">
        <v>85724</v>
      </c>
      <c r="I490">
        <v>771</v>
      </c>
      <c r="J490" t="s">
        <v>18</v>
      </c>
      <c r="K490">
        <v>0.2</v>
      </c>
      <c r="L490">
        <v>38.799999999999997</v>
      </c>
      <c r="M490" t="s">
        <v>48</v>
      </c>
      <c r="N490" s="7">
        <v>45094</v>
      </c>
      <c r="O490" t="str" cm="1">
        <f t="array" ref="O490">_xlfn.IFS(tbl_loans_clean[[#This Row],[Credit_Score]]&lt;650,"580-649",tbl_loans_clean[[#This Row],[Credit_Score]]&lt;700,"650-699",tbl_loans_clean[[#This Row],[Credit_Score]]&lt;750,"700-749",TRUE,"750+")</f>
        <v>750+</v>
      </c>
    </row>
    <row r="491" spans="1:15" x14ac:dyDescent="0.35">
      <c r="A491" t="s">
        <v>401</v>
      </c>
      <c r="B491" t="s">
        <v>15</v>
      </c>
      <c r="C491" t="s">
        <v>22</v>
      </c>
      <c r="D491" t="s">
        <v>38</v>
      </c>
      <c r="E491">
        <v>305486</v>
      </c>
      <c r="F491">
        <v>11.69</v>
      </c>
      <c r="G491">
        <v>12</v>
      </c>
      <c r="H491">
        <v>78494</v>
      </c>
      <c r="I491">
        <v>711</v>
      </c>
      <c r="J491" t="s">
        <v>35</v>
      </c>
      <c r="K491">
        <v>19.100000000000001</v>
      </c>
      <c r="L491">
        <v>25.9</v>
      </c>
      <c r="M491" t="s">
        <v>19</v>
      </c>
      <c r="N491" s="7">
        <v>45094</v>
      </c>
      <c r="O491" t="str" cm="1">
        <f t="array" ref="O491">_xlfn.IFS(tbl_loans_clean[[#This Row],[Credit_Score]]&lt;650,"580-649",tbl_loans_clean[[#This Row],[Credit_Score]]&lt;700,"650-699",tbl_loans_clean[[#This Row],[Credit_Score]]&lt;750,"700-749",TRUE,"750+")</f>
        <v>700-749</v>
      </c>
    </row>
    <row r="492" spans="1:15" x14ac:dyDescent="0.35">
      <c r="A492" t="s">
        <v>745</v>
      </c>
      <c r="B492" t="s">
        <v>30</v>
      </c>
      <c r="C492" t="s">
        <v>22</v>
      </c>
      <c r="D492" t="s">
        <v>17</v>
      </c>
      <c r="E492">
        <v>687416</v>
      </c>
      <c r="F492">
        <v>8.27</v>
      </c>
      <c r="G492">
        <v>120</v>
      </c>
      <c r="H492">
        <v>78906</v>
      </c>
      <c r="I492">
        <v>795</v>
      </c>
      <c r="J492" t="s">
        <v>18</v>
      </c>
      <c r="K492">
        <v>9</v>
      </c>
      <c r="L492">
        <v>37.9</v>
      </c>
      <c r="M492" t="s">
        <v>19</v>
      </c>
      <c r="N492" s="7">
        <v>45095</v>
      </c>
      <c r="O492" t="str" cm="1">
        <f t="array" ref="O492">_xlfn.IFS(tbl_loans_clean[[#This Row],[Credit_Score]]&lt;650,"580-649",tbl_loans_clean[[#This Row],[Credit_Score]]&lt;700,"650-699",tbl_loans_clean[[#This Row],[Credit_Score]]&lt;750,"700-749",TRUE,"750+")</f>
        <v>750+</v>
      </c>
    </row>
    <row r="493" spans="1:15" x14ac:dyDescent="0.35">
      <c r="A493" t="s">
        <v>209</v>
      </c>
      <c r="B493" t="s">
        <v>30</v>
      </c>
      <c r="C493" t="s">
        <v>16</v>
      </c>
      <c r="D493" t="s">
        <v>17</v>
      </c>
      <c r="E493">
        <v>254877</v>
      </c>
      <c r="F493">
        <v>5.46</v>
      </c>
      <c r="G493">
        <v>300</v>
      </c>
      <c r="H493">
        <v>176099</v>
      </c>
      <c r="I493">
        <v>705</v>
      </c>
      <c r="J493" t="s">
        <v>18</v>
      </c>
      <c r="K493">
        <v>24.7</v>
      </c>
      <c r="L493">
        <v>45.8</v>
      </c>
      <c r="M493" t="s">
        <v>23</v>
      </c>
      <c r="N493" s="7">
        <v>45101</v>
      </c>
      <c r="O493" t="str" cm="1">
        <f t="array" ref="O493">_xlfn.IFS(tbl_loans_clean[[#This Row],[Credit_Score]]&lt;650,"580-649",tbl_loans_clean[[#This Row],[Credit_Score]]&lt;700,"650-699",tbl_loans_clean[[#This Row],[Credit_Score]]&lt;750,"700-749",TRUE,"750+")</f>
        <v>700-749</v>
      </c>
    </row>
    <row r="494" spans="1:15" x14ac:dyDescent="0.35">
      <c r="A494" t="s">
        <v>75</v>
      </c>
      <c r="B494" t="s">
        <v>30</v>
      </c>
      <c r="C494" t="s">
        <v>34</v>
      </c>
      <c r="D494" t="s">
        <v>32</v>
      </c>
      <c r="E494">
        <v>470065</v>
      </c>
      <c r="F494">
        <v>6.03</v>
      </c>
      <c r="G494">
        <v>60</v>
      </c>
      <c r="H494">
        <v>75315</v>
      </c>
      <c r="I494">
        <v>592</v>
      </c>
      <c r="J494" t="s">
        <v>18</v>
      </c>
      <c r="K494">
        <v>24.2</v>
      </c>
      <c r="L494">
        <v>20.399999999999999</v>
      </c>
      <c r="M494" t="s">
        <v>23</v>
      </c>
      <c r="N494" s="7">
        <v>45103</v>
      </c>
      <c r="O494" t="str" cm="1">
        <f t="array" ref="O494">_xlfn.IFS(tbl_loans_clean[[#This Row],[Credit_Score]]&lt;650,"580-649",tbl_loans_clean[[#This Row],[Credit_Score]]&lt;700,"650-699",tbl_loans_clean[[#This Row],[Credit_Score]]&lt;750,"700-749",TRUE,"750+")</f>
        <v>580-649</v>
      </c>
    </row>
    <row r="495" spans="1:15" x14ac:dyDescent="0.35">
      <c r="A495" t="s">
        <v>150</v>
      </c>
      <c r="B495" t="s">
        <v>30</v>
      </c>
      <c r="C495" t="s">
        <v>22</v>
      </c>
      <c r="D495" t="s">
        <v>45</v>
      </c>
      <c r="E495">
        <v>96088</v>
      </c>
      <c r="F495">
        <v>12.99</v>
      </c>
      <c r="G495">
        <v>300</v>
      </c>
      <c r="H495">
        <v>189205</v>
      </c>
      <c r="I495">
        <v>726</v>
      </c>
      <c r="J495" t="s">
        <v>35</v>
      </c>
      <c r="K495">
        <v>11.6</v>
      </c>
      <c r="L495">
        <v>24.4</v>
      </c>
      <c r="M495" t="s">
        <v>23</v>
      </c>
      <c r="N495" s="7">
        <v>45103</v>
      </c>
      <c r="O495" t="str" cm="1">
        <f t="array" ref="O495">_xlfn.IFS(tbl_loans_clean[[#This Row],[Credit_Score]]&lt;650,"580-649",tbl_loans_clean[[#This Row],[Credit_Score]]&lt;700,"650-699",tbl_loans_clean[[#This Row],[Credit_Score]]&lt;750,"700-749",TRUE,"750+")</f>
        <v>700-749</v>
      </c>
    </row>
    <row r="496" spans="1:15" x14ac:dyDescent="0.35">
      <c r="A496" t="s">
        <v>93</v>
      </c>
      <c r="B496" t="s">
        <v>83</v>
      </c>
      <c r="C496" t="s">
        <v>34</v>
      </c>
      <c r="D496" t="s">
        <v>17</v>
      </c>
      <c r="E496">
        <v>401452</v>
      </c>
      <c r="F496">
        <v>12.06</v>
      </c>
      <c r="G496">
        <v>24</v>
      </c>
      <c r="H496">
        <v>199817</v>
      </c>
      <c r="I496">
        <v>649</v>
      </c>
      <c r="J496" t="s">
        <v>18</v>
      </c>
      <c r="K496">
        <v>11.1</v>
      </c>
      <c r="L496">
        <v>10.7</v>
      </c>
      <c r="M496" t="s">
        <v>48</v>
      </c>
      <c r="N496" s="7">
        <v>45104</v>
      </c>
      <c r="O496" t="str" cm="1">
        <f t="array" ref="O496">_xlfn.IFS(tbl_loans_clean[[#This Row],[Credit_Score]]&lt;650,"580-649",tbl_loans_clean[[#This Row],[Credit_Score]]&lt;700,"650-699",tbl_loans_clean[[#This Row],[Credit_Score]]&lt;750,"700-749",TRUE,"750+")</f>
        <v>580-649</v>
      </c>
    </row>
    <row r="497" spans="1:15" x14ac:dyDescent="0.35">
      <c r="A497" t="s">
        <v>588</v>
      </c>
      <c r="B497" t="s">
        <v>30</v>
      </c>
      <c r="C497" t="s">
        <v>22</v>
      </c>
      <c r="D497" t="s">
        <v>32</v>
      </c>
      <c r="E497">
        <v>64234</v>
      </c>
      <c r="F497">
        <v>14.22</v>
      </c>
      <c r="G497">
        <v>12</v>
      </c>
      <c r="H497">
        <v>143721</v>
      </c>
      <c r="I497">
        <v>640</v>
      </c>
      <c r="J497" t="s">
        <v>18</v>
      </c>
      <c r="K497">
        <v>2.5</v>
      </c>
      <c r="L497">
        <v>47.9</v>
      </c>
      <c r="M497" t="s">
        <v>55</v>
      </c>
      <c r="N497" s="7">
        <v>45105</v>
      </c>
      <c r="O497" t="str" cm="1">
        <f t="array" ref="O497">_xlfn.IFS(tbl_loans_clean[[#This Row],[Credit_Score]]&lt;650,"580-649",tbl_loans_clean[[#This Row],[Credit_Score]]&lt;700,"650-699",tbl_loans_clean[[#This Row],[Credit_Score]]&lt;750,"700-749",TRUE,"750+")</f>
        <v>580-649</v>
      </c>
    </row>
    <row r="498" spans="1:15" x14ac:dyDescent="0.35">
      <c r="A498" t="s">
        <v>77</v>
      </c>
      <c r="B498" t="s">
        <v>28</v>
      </c>
      <c r="C498" t="s">
        <v>16</v>
      </c>
      <c r="D498" t="s">
        <v>52</v>
      </c>
      <c r="E498">
        <v>13036</v>
      </c>
      <c r="F498">
        <v>9.66</v>
      </c>
      <c r="G498">
        <v>60</v>
      </c>
      <c r="H498">
        <v>107526</v>
      </c>
      <c r="I498">
        <v>761</v>
      </c>
      <c r="J498" t="s">
        <v>18</v>
      </c>
      <c r="K498">
        <v>3.6</v>
      </c>
      <c r="L498">
        <v>11.6</v>
      </c>
      <c r="M498" t="s">
        <v>23</v>
      </c>
      <c r="N498" s="7">
        <v>45107</v>
      </c>
      <c r="O498" t="str" cm="1">
        <f t="array" ref="O498">_xlfn.IFS(tbl_loans_clean[[#This Row],[Credit_Score]]&lt;650,"580-649",tbl_loans_clean[[#This Row],[Credit_Score]]&lt;700,"650-699",tbl_loans_clean[[#This Row],[Credit_Score]]&lt;750,"700-749",TRUE,"750+")</f>
        <v>750+</v>
      </c>
    </row>
    <row r="499" spans="1:15" x14ac:dyDescent="0.35">
      <c r="A499" t="s">
        <v>791</v>
      </c>
      <c r="B499" t="s">
        <v>28</v>
      </c>
      <c r="C499" t="s">
        <v>16</v>
      </c>
      <c r="D499" t="s">
        <v>17</v>
      </c>
      <c r="E499">
        <v>544376</v>
      </c>
      <c r="F499">
        <v>6.72</v>
      </c>
      <c r="G499">
        <v>120</v>
      </c>
      <c r="H499">
        <v>114988</v>
      </c>
      <c r="I499">
        <v>583</v>
      </c>
      <c r="J499" t="s">
        <v>18</v>
      </c>
      <c r="K499">
        <v>4.7</v>
      </c>
      <c r="L499">
        <v>12.9</v>
      </c>
      <c r="M499" t="s">
        <v>19</v>
      </c>
      <c r="N499" s="7">
        <v>45107</v>
      </c>
      <c r="O499" t="str" cm="1">
        <f t="array" ref="O499">_xlfn.IFS(tbl_loans_clean[[#This Row],[Credit_Score]]&lt;650,"580-649",tbl_loans_clean[[#This Row],[Credit_Score]]&lt;700,"650-699",tbl_loans_clean[[#This Row],[Credit_Score]]&lt;750,"700-749",TRUE,"750+")</f>
        <v>580-649</v>
      </c>
    </row>
    <row r="500" spans="1:15" x14ac:dyDescent="0.35">
      <c r="A500" t="s">
        <v>129</v>
      </c>
      <c r="B500" t="s">
        <v>37</v>
      </c>
      <c r="C500" t="s">
        <v>22</v>
      </c>
      <c r="D500" t="s">
        <v>45</v>
      </c>
      <c r="E500">
        <v>182912</v>
      </c>
      <c r="F500">
        <v>10.62</v>
      </c>
      <c r="G500">
        <v>48</v>
      </c>
      <c r="H500">
        <v>101369</v>
      </c>
      <c r="I500">
        <v>758</v>
      </c>
      <c r="J500" t="s">
        <v>18</v>
      </c>
      <c r="K500">
        <v>6.2</v>
      </c>
      <c r="L500">
        <v>45.8</v>
      </c>
      <c r="M500" t="s">
        <v>23</v>
      </c>
      <c r="N500" s="7">
        <v>45111</v>
      </c>
      <c r="O500" t="str" cm="1">
        <f t="array" ref="O500">_xlfn.IFS(tbl_loans_clean[[#This Row],[Credit_Score]]&lt;650,"580-649",tbl_loans_clean[[#This Row],[Credit_Score]]&lt;700,"650-699",tbl_loans_clean[[#This Row],[Credit_Score]]&lt;750,"700-749",TRUE,"750+")</f>
        <v>750+</v>
      </c>
    </row>
    <row r="501" spans="1:15" x14ac:dyDescent="0.35">
      <c r="A501" t="s">
        <v>138</v>
      </c>
      <c r="B501" t="s">
        <v>15</v>
      </c>
      <c r="C501" t="s">
        <v>34</v>
      </c>
      <c r="D501" t="s">
        <v>17</v>
      </c>
      <c r="E501">
        <v>85388</v>
      </c>
      <c r="F501">
        <v>10.25</v>
      </c>
      <c r="G501">
        <v>12</v>
      </c>
      <c r="H501">
        <v>119404</v>
      </c>
      <c r="I501">
        <v>653</v>
      </c>
      <c r="J501" t="s">
        <v>18</v>
      </c>
      <c r="K501">
        <v>17.7</v>
      </c>
      <c r="L501">
        <v>32.700000000000003</v>
      </c>
      <c r="M501" t="s">
        <v>23</v>
      </c>
      <c r="N501" s="7">
        <v>45113</v>
      </c>
      <c r="O501" t="str" cm="1">
        <f t="array" ref="O501">_xlfn.IFS(tbl_loans_clean[[#This Row],[Credit_Score]]&lt;650,"580-649",tbl_loans_clean[[#This Row],[Credit_Score]]&lt;700,"650-699",tbl_loans_clean[[#This Row],[Credit_Score]]&lt;750,"700-749",TRUE,"750+")</f>
        <v>650-699</v>
      </c>
    </row>
    <row r="502" spans="1:15" x14ac:dyDescent="0.35">
      <c r="A502" t="s">
        <v>674</v>
      </c>
      <c r="B502" t="s">
        <v>15</v>
      </c>
      <c r="C502" t="s">
        <v>22</v>
      </c>
      <c r="D502" t="s">
        <v>73</v>
      </c>
      <c r="E502">
        <v>592520</v>
      </c>
      <c r="F502">
        <v>7.41</v>
      </c>
      <c r="G502">
        <v>60</v>
      </c>
      <c r="H502">
        <v>140341</v>
      </c>
      <c r="I502">
        <v>724</v>
      </c>
      <c r="J502" t="s">
        <v>18</v>
      </c>
      <c r="K502">
        <v>23.6</v>
      </c>
      <c r="L502">
        <v>11.7</v>
      </c>
      <c r="M502" t="s">
        <v>19</v>
      </c>
      <c r="N502" s="7">
        <v>45115</v>
      </c>
      <c r="O502" t="str" cm="1">
        <f t="array" ref="O502">_xlfn.IFS(tbl_loans_clean[[#This Row],[Credit_Score]]&lt;650,"580-649",tbl_loans_clean[[#This Row],[Credit_Score]]&lt;700,"650-699",tbl_loans_clean[[#This Row],[Credit_Score]]&lt;750,"700-749",TRUE,"750+")</f>
        <v>700-749</v>
      </c>
    </row>
    <row r="503" spans="1:15" x14ac:dyDescent="0.35">
      <c r="A503" t="s">
        <v>722</v>
      </c>
      <c r="B503" t="s">
        <v>25</v>
      </c>
      <c r="C503" t="s">
        <v>34</v>
      </c>
      <c r="D503" t="s">
        <v>17</v>
      </c>
      <c r="E503">
        <v>196387</v>
      </c>
      <c r="F503">
        <v>8.7100000000000009</v>
      </c>
      <c r="G503">
        <v>120</v>
      </c>
      <c r="H503">
        <v>41386</v>
      </c>
      <c r="I503">
        <v>666</v>
      </c>
      <c r="J503" t="s">
        <v>18</v>
      </c>
      <c r="K503">
        <v>10.7</v>
      </c>
      <c r="L503">
        <v>8</v>
      </c>
      <c r="M503" t="s">
        <v>19</v>
      </c>
      <c r="N503" s="7">
        <v>45115</v>
      </c>
      <c r="O503" t="str" cm="1">
        <f t="array" ref="O503">_xlfn.IFS(tbl_loans_clean[[#This Row],[Credit_Score]]&lt;650,"580-649",tbl_loans_clean[[#This Row],[Credit_Score]]&lt;700,"650-699",tbl_loans_clean[[#This Row],[Credit_Score]]&lt;750,"700-749",TRUE,"750+")</f>
        <v>650-699</v>
      </c>
    </row>
    <row r="504" spans="1:15" x14ac:dyDescent="0.35">
      <c r="A504" t="s">
        <v>201</v>
      </c>
      <c r="B504" t="s">
        <v>15</v>
      </c>
      <c r="C504" t="s">
        <v>22</v>
      </c>
      <c r="D504" t="s">
        <v>32</v>
      </c>
      <c r="E504">
        <v>423734</v>
      </c>
      <c r="F504">
        <v>10.8</v>
      </c>
      <c r="G504">
        <v>24</v>
      </c>
      <c r="H504">
        <v>172101</v>
      </c>
      <c r="I504">
        <v>585</v>
      </c>
      <c r="J504" t="s">
        <v>26</v>
      </c>
      <c r="K504">
        <v>21.4</v>
      </c>
      <c r="L504">
        <v>18.7</v>
      </c>
      <c r="M504" t="s">
        <v>19</v>
      </c>
      <c r="N504" s="7">
        <v>45118</v>
      </c>
      <c r="O504" t="str" cm="1">
        <f t="array" ref="O504">_xlfn.IFS(tbl_loans_clean[[#This Row],[Credit_Score]]&lt;650,"580-649",tbl_loans_clean[[#This Row],[Credit_Score]]&lt;700,"650-699",tbl_loans_clean[[#This Row],[Credit_Score]]&lt;750,"700-749",TRUE,"750+")</f>
        <v>580-649</v>
      </c>
    </row>
    <row r="505" spans="1:15" x14ac:dyDescent="0.35">
      <c r="A505" t="s">
        <v>591</v>
      </c>
      <c r="B505" t="s">
        <v>25</v>
      </c>
      <c r="C505" t="s">
        <v>22</v>
      </c>
      <c r="D505" t="s">
        <v>43</v>
      </c>
      <c r="E505">
        <v>343365</v>
      </c>
      <c r="F505">
        <v>13.8</v>
      </c>
      <c r="G505">
        <v>240</v>
      </c>
      <c r="H505">
        <v>114971</v>
      </c>
      <c r="I505">
        <v>700</v>
      </c>
      <c r="J505" t="s">
        <v>18</v>
      </c>
      <c r="K505">
        <v>2.8</v>
      </c>
      <c r="L505">
        <v>15.1</v>
      </c>
      <c r="M505" t="s">
        <v>48</v>
      </c>
      <c r="N505" s="7">
        <v>45122</v>
      </c>
      <c r="O505" t="str" cm="1">
        <f t="array" ref="O505">_xlfn.IFS(tbl_loans_clean[[#This Row],[Credit_Score]]&lt;650,"580-649",tbl_loans_clean[[#This Row],[Credit_Score]]&lt;700,"650-699",tbl_loans_clean[[#This Row],[Credit_Score]]&lt;750,"700-749",TRUE,"750+")</f>
        <v>700-749</v>
      </c>
    </row>
    <row r="506" spans="1:15" x14ac:dyDescent="0.35">
      <c r="A506" t="s">
        <v>522</v>
      </c>
      <c r="B506" t="s">
        <v>28</v>
      </c>
      <c r="C506" t="s">
        <v>16</v>
      </c>
      <c r="D506" t="s">
        <v>17</v>
      </c>
      <c r="E506">
        <v>262354</v>
      </c>
      <c r="F506">
        <v>12.29</v>
      </c>
      <c r="G506">
        <v>48</v>
      </c>
      <c r="H506">
        <v>199806</v>
      </c>
      <c r="I506">
        <v>757</v>
      </c>
      <c r="J506" t="s">
        <v>18</v>
      </c>
      <c r="K506">
        <v>23.3</v>
      </c>
      <c r="L506">
        <v>17</v>
      </c>
      <c r="M506" t="s">
        <v>55</v>
      </c>
      <c r="N506" s="7">
        <v>45127</v>
      </c>
      <c r="O506" t="str" cm="1">
        <f t="array" ref="O506">_xlfn.IFS(tbl_loans_clean[[#This Row],[Credit_Score]]&lt;650,"580-649",tbl_loans_clean[[#This Row],[Credit_Score]]&lt;700,"650-699",tbl_loans_clean[[#This Row],[Credit_Score]]&lt;750,"700-749",TRUE,"750+")</f>
        <v>750+</v>
      </c>
    </row>
    <row r="507" spans="1:15" x14ac:dyDescent="0.35">
      <c r="A507" t="s">
        <v>176</v>
      </c>
      <c r="B507" t="s">
        <v>30</v>
      </c>
      <c r="C507" t="s">
        <v>22</v>
      </c>
      <c r="D507" t="s">
        <v>43</v>
      </c>
      <c r="E507">
        <v>428602</v>
      </c>
      <c r="F507">
        <v>11.66</v>
      </c>
      <c r="G507">
        <v>60</v>
      </c>
      <c r="H507">
        <v>173399</v>
      </c>
      <c r="I507">
        <v>634</v>
      </c>
      <c r="J507" t="s">
        <v>18</v>
      </c>
      <c r="K507">
        <v>18.600000000000001</v>
      </c>
      <c r="L507">
        <v>23.2</v>
      </c>
      <c r="M507" t="s">
        <v>23</v>
      </c>
      <c r="N507" s="7">
        <v>45128</v>
      </c>
      <c r="O507" t="str" cm="1">
        <f t="array" ref="O507">_xlfn.IFS(tbl_loans_clean[[#This Row],[Credit_Score]]&lt;650,"580-649",tbl_loans_clean[[#This Row],[Credit_Score]]&lt;700,"650-699",tbl_loans_clean[[#This Row],[Credit_Score]]&lt;750,"700-749",TRUE,"750+")</f>
        <v>580-649</v>
      </c>
    </row>
    <row r="508" spans="1:15" x14ac:dyDescent="0.35">
      <c r="A508" t="s">
        <v>339</v>
      </c>
      <c r="B508" t="s">
        <v>30</v>
      </c>
      <c r="C508" t="s">
        <v>22</v>
      </c>
      <c r="D508" t="s">
        <v>17</v>
      </c>
      <c r="E508">
        <v>67551</v>
      </c>
      <c r="F508">
        <v>3.4</v>
      </c>
      <c r="G508">
        <v>240</v>
      </c>
      <c r="H508">
        <v>185550</v>
      </c>
      <c r="I508">
        <v>766</v>
      </c>
      <c r="J508" t="s">
        <v>26</v>
      </c>
      <c r="K508">
        <v>11.1</v>
      </c>
      <c r="L508">
        <v>45.6</v>
      </c>
      <c r="M508" t="s">
        <v>23</v>
      </c>
      <c r="N508" s="7">
        <v>45129</v>
      </c>
      <c r="O508" t="str" cm="1">
        <f t="array" ref="O508">_xlfn.IFS(tbl_loans_clean[[#This Row],[Credit_Score]]&lt;650,"580-649",tbl_loans_clean[[#This Row],[Credit_Score]]&lt;700,"650-699",tbl_loans_clean[[#This Row],[Credit_Score]]&lt;750,"700-749",TRUE,"750+")</f>
        <v>750+</v>
      </c>
    </row>
    <row r="509" spans="1:15" x14ac:dyDescent="0.35">
      <c r="A509" t="s">
        <v>753</v>
      </c>
      <c r="B509" t="s">
        <v>28</v>
      </c>
      <c r="C509" t="s">
        <v>16</v>
      </c>
      <c r="D509" t="s">
        <v>43</v>
      </c>
      <c r="E509">
        <v>430468</v>
      </c>
      <c r="F509">
        <v>7.49</v>
      </c>
      <c r="G509">
        <v>240</v>
      </c>
      <c r="H509">
        <v>66185</v>
      </c>
      <c r="I509">
        <v>789</v>
      </c>
      <c r="J509" t="s">
        <v>18</v>
      </c>
      <c r="K509">
        <v>16.100000000000001</v>
      </c>
      <c r="L509">
        <v>36.5</v>
      </c>
      <c r="M509" t="s">
        <v>55</v>
      </c>
      <c r="N509" s="7">
        <v>45134</v>
      </c>
      <c r="O509" t="str" cm="1">
        <f t="array" ref="O509">_xlfn.IFS(tbl_loans_clean[[#This Row],[Credit_Score]]&lt;650,"580-649",tbl_loans_clean[[#This Row],[Credit_Score]]&lt;700,"650-699",tbl_loans_clean[[#This Row],[Credit_Score]]&lt;750,"700-749",TRUE,"750+")</f>
        <v>750+</v>
      </c>
    </row>
    <row r="510" spans="1:15" x14ac:dyDescent="0.35">
      <c r="A510" t="s">
        <v>432</v>
      </c>
      <c r="B510" t="s">
        <v>303</v>
      </c>
      <c r="C510" t="s">
        <v>22</v>
      </c>
      <c r="D510" t="s">
        <v>38</v>
      </c>
      <c r="E510">
        <v>591549</v>
      </c>
      <c r="F510">
        <v>11.07</v>
      </c>
      <c r="G510">
        <v>24</v>
      </c>
      <c r="H510">
        <v>98219</v>
      </c>
      <c r="I510">
        <v>825</v>
      </c>
      <c r="J510" t="s">
        <v>18</v>
      </c>
      <c r="K510">
        <v>12.4</v>
      </c>
      <c r="L510">
        <v>13.4</v>
      </c>
      <c r="M510" t="s">
        <v>23</v>
      </c>
      <c r="N510" s="7">
        <v>45135</v>
      </c>
      <c r="O510" t="str" cm="1">
        <f t="array" ref="O510">_xlfn.IFS(tbl_loans_clean[[#This Row],[Credit_Score]]&lt;650,"580-649",tbl_loans_clean[[#This Row],[Credit_Score]]&lt;700,"650-699",tbl_loans_clean[[#This Row],[Credit_Score]]&lt;750,"700-749",TRUE,"750+")</f>
        <v>750+</v>
      </c>
    </row>
    <row r="511" spans="1:15" x14ac:dyDescent="0.35">
      <c r="A511" t="s">
        <v>227</v>
      </c>
      <c r="B511" t="s">
        <v>25</v>
      </c>
      <c r="C511" t="s">
        <v>16</v>
      </c>
      <c r="D511" t="s">
        <v>45</v>
      </c>
      <c r="E511">
        <v>435192</v>
      </c>
      <c r="F511">
        <v>11.17</v>
      </c>
      <c r="G511">
        <v>300</v>
      </c>
      <c r="H511">
        <v>39618</v>
      </c>
      <c r="I511">
        <v>706</v>
      </c>
      <c r="J511" t="s">
        <v>18</v>
      </c>
      <c r="K511">
        <v>3.2</v>
      </c>
      <c r="L511">
        <v>34.5</v>
      </c>
      <c r="M511" t="s">
        <v>23</v>
      </c>
      <c r="N511" s="7">
        <v>45136</v>
      </c>
      <c r="O511" t="str" cm="1">
        <f t="array" ref="O511">_xlfn.IFS(tbl_loans_clean[[#This Row],[Credit_Score]]&lt;650,"580-649",tbl_loans_clean[[#This Row],[Credit_Score]]&lt;700,"650-699",tbl_loans_clean[[#This Row],[Credit_Score]]&lt;750,"700-749",TRUE,"750+")</f>
        <v>700-749</v>
      </c>
    </row>
    <row r="512" spans="1:15" x14ac:dyDescent="0.35">
      <c r="A512" t="s">
        <v>696</v>
      </c>
      <c r="B512" t="s">
        <v>15</v>
      </c>
      <c r="C512" t="s">
        <v>22</v>
      </c>
      <c r="D512" t="s">
        <v>43</v>
      </c>
      <c r="E512">
        <v>420842</v>
      </c>
      <c r="F512">
        <v>10.8</v>
      </c>
      <c r="G512">
        <v>24</v>
      </c>
      <c r="H512">
        <v>82962</v>
      </c>
      <c r="I512">
        <v>706</v>
      </c>
      <c r="J512" t="s">
        <v>18</v>
      </c>
      <c r="K512">
        <v>5.8</v>
      </c>
      <c r="L512">
        <v>30.2</v>
      </c>
      <c r="M512" t="s">
        <v>23</v>
      </c>
      <c r="N512" s="7">
        <v>45139</v>
      </c>
      <c r="O512" t="str" cm="1">
        <f t="array" ref="O512">_xlfn.IFS(tbl_loans_clean[[#This Row],[Credit_Score]]&lt;650,"580-649",tbl_loans_clean[[#This Row],[Credit_Score]]&lt;700,"650-699",tbl_loans_clean[[#This Row],[Credit_Score]]&lt;750,"700-749",TRUE,"750+")</f>
        <v>700-749</v>
      </c>
    </row>
    <row r="513" spans="1:15" x14ac:dyDescent="0.35">
      <c r="A513" t="s">
        <v>76</v>
      </c>
      <c r="B513" t="s">
        <v>30</v>
      </c>
      <c r="C513" t="s">
        <v>22</v>
      </c>
      <c r="D513" t="s">
        <v>17</v>
      </c>
      <c r="E513">
        <v>209923</v>
      </c>
      <c r="F513">
        <v>10.26</v>
      </c>
      <c r="G513">
        <v>300</v>
      </c>
      <c r="H513">
        <v>155251</v>
      </c>
      <c r="I513">
        <v>597</v>
      </c>
      <c r="J513" t="s">
        <v>39</v>
      </c>
      <c r="K513">
        <v>11.3</v>
      </c>
      <c r="L513">
        <v>11.4</v>
      </c>
      <c r="M513" t="s">
        <v>23</v>
      </c>
      <c r="N513" s="7">
        <v>45140</v>
      </c>
      <c r="O513" t="str" cm="1">
        <f t="array" ref="O513">_xlfn.IFS(tbl_loans_clean[[#This Row],[Credit_Score]]&lt;650,"580-649",tbl_loans_clean[[#This Row],[Credit_Score]]&lt;700,"650-699",tbl_loans_clean[[#This Row],[Credit_Score]]&lt;750,"700-749",TRUE,"750+")</f>
        <v>580-649</v>
      </c>
    </row>
    <row r="514" spans="1:15" x14ac:dyDescent="0.35">
      <c r="A514" t="s">
        <v>147</v>
      </c>
      <c r="B514" t="s">
        <v>15</v>
      </c>
      <c r="C514" t="s">
        <v>34</v>
      </c>
      <c r="D514" t="s">
        <v>45</v>
      </c>
      <c r="E514">
        <v>31086</v>
      </c>
      <c r="F514">
        <v>6.74</v>
      </c>
      <c r="G514">
        <v>120</v>
      </c>
      <c r="H514">
        <v>107878</v>
      </c>
      <c r="I514">
        <v>657</v>
      </c>
      <c r="J514" t="s">
        <v>18</v>
      </c>
      <c r="K514">
        <v>23.6</v>
      </c>
      <c r="L514">
        <v>20.6</v>
      </c>
      <c r="M514" t="s">
        <v>23</v>
      </c>
      <c r="N514" s="7">
        <v>45141</v>
      </c>
      <c r="O514" t="str" cm="1">
        <f t="array" ref="O514">_xlfn.IFS(tbl_loans_clean[[#This Row],[Credit_Score]]&lt;650,"580-649",tbl_loans_clean[[#This Row],[Credit_Score]]&lt;700,"650-699",tbl_loans_clean[[#This Row],[Credit_Score]]&lt;750,"700-749",TRUE,"750+")</f>
        <v>650-699</v>
      </c>
    </row>
    <row r="515" spans="1:15" x14ac:dyDescent="0.35">
      <c r="A515" t="s">
        <v>577</v>
      </c>
      <c r="B515" t="s">
        <v>71</v>
      </c>
      <c r="C515" t="s">
        <v>16</v>
      </c>
      <c r="D515" t="s">
        <v>73</v>
      </c>
      <c r="E515">
        <v>144883</v>
      </c>
      <c r="F515">
        <v>12.27</v>
      </c>
      <c r="G515">
        <v>12</v>
      </c>
      <c r="H515">
        <v>160534</v>
      </c>
      <c r="I515">
        <v>745</v>
      </c>
      <c r="J515" t="s">
        <v>39</v>
      </c>
      <c r="K515">
        <v>20.100000000000001</v>
      </c>
      <c r="L515">
        <v>37.200000000000003</v>
      </c>
      <c r="M515" t="s">
        <v>23</v>
      </c>
      <c r="N515" s="7">
        <v>45144</v>
      </c>
      <c r="O515" t="str" cm="1">
        <f t="array" ref="O515">_xlfn.IFS(tbl_loans_clean[[#This Row],[Credit_Score]]&lt;650,"580-649",tbl_loans_clean[[#This Row],[Credit_Score]]&lt;700,"650-699",tbl_loans_clean[[#This Row],[Credit_Score]]&lt;750,"700-749",TRUE,"750+")</f>
        <v>700-749</v>
      </c>
    </row>
    <row r="516" spans="1:15" x14ac:dyDescent="0.35">
      <c r="A516" t="s">
        <v>46</v>
      </c>
      <c r="B516" t="s">
        <v>25</v>
      </c>
      <c r="C516" t="s">
        <v>22</v>
      </c>
      <c r="D516" t="s">
        <v>32</v>
      </c>
      <c r="E516">
        <v>153510</v>
      </c>
      <c r="F516">
        <v>11.15</v>
      </c>
      <c r="G516">
        <v>300</v>
      </c>
      <c r="H516">
        <v>42389</v>
      </c>
      <c r="I516">
        <v>741</v>
      </c>
      <c r="J516" t="s">
        <v>18</v>
      </c>
      <c r="K516">
        <v>21.1</v>
      </c>
      <c r="L516">
        <v>13.2</v>
      </c>
      <c r="M516" t="s">
        <v>23</v>
      </c>
      <c r="N516" s="7">
        <v>45145</v>
      </c>
      <c r="O516" t="str" cm="1">
        <f t="array" ref="O516">_xlfn.IFS(tbl_loans_clean[[#This Row],[Credit_Score]]&lt;650,"580-649",tbl_loans_clean[[#This Row],[Credit_Score]]&lt;700,"650-699",tbl_loans_clean[[#This Row],[Credit_Score]]&lt;750,"700-749",TRUE,"750+")</f>
        <v>700-749</v>
      </c>
    </row>
    <row r="517" spans="1:15" x14ac:dyDescent="0.35">
      <c r="A517" t="s">
        <v>79</v>
      </c>
      <c r="B517" t="s">
        <v>30</v>
      </c>
      <c r="C517" t="s">
        <v>22</v>
      </c>
      <c r="D517" t="s">
        <v>32</v>
      </c>
      <c r="E517">
        <v>159245</v>
      </c>
      <c r="F517">
        <v>13.44</v>
      </c>
      <c r="G517">
        <v>60</v>
      </c>
      <c r="H517">
        <v>114005</v>
      </c>
      <c r="I517">
        <v>808</v>
      </c>
      <c r="J517" t="s">
        <v>18</v>
      </c>
      <c r="K517">
        <v>23.8</v>
      </c>
      <c r="L517">
        <v>35.6</v>
      </c>
      <c r="M517" t="s">
        <v>55</v>
      </c>
      <c r="N517" s="7">
        <v>45146</v>
      </c>
      <c r="O517" t="str" cm="1">
        <f t="array" ref="O517">_xlfn.IFS(tbl_loans_clean[[#This Row],[Credit_Score]]&lt;650,"580-649",tbl_loans_clean[[#This Row],[Credit_Score]]&lt;700,"650-699",tbl_loans_clean[[#This Row],[Credit_Score]]&lt;750,"700-749",TRUE,"750+")</f>
        <v>750+</v>
      </c>
    </row>
    <row r="518" spans="1:15" x14ac:dyDescent="0.35">
      <c r="A518" t="s">
        <v>839</v>
      </c>
      <c r="B518" t="s">
        <v>15</v>
      </c>
      <c r="C518" t="s">
        <v>22</v>
      </c>
      <c r="D518" t="s">
        <v>17</v>
      </c>
      <c r="E518">
        <v>433276</v>
      </c>
      <c r="F518">
        <v>6.45</v>
      </c>
      <c r="G518">
        <v>60</v>
      </c>
      <c r="H518">
        <v>196065</v>
      </c>
      <c r="I518">
        <v>667</v>
      </c>
      <c r="J518" t="s">
        <v>18</v>
      </c>
      <c r="K518">
        <v>12.2</v>
      </c>
      <c r="L518">
        <v>8.5</v>
      </c>
      <c r="M518" t="s">
        <v>23</v>
      </c>
      <c r="N518" s="7">
        <v>45146</v>
      </c>
      <c r="O518" t="str" cm="1">
        <f t="array" ref="O518">_xlfn.IFS(tbl_loans_clean[[#This Row],[Credit_Score]]&lt;650,"580-649",tbl_loans_clean[[#This Row],[Credit_Score]]&lt;700,"650-699",tbl_loans_clean[[#This Row],[Credit_Score]]&lt;750,"700-749",TRUE,"750+")</f>
        <v>650-699</v>
      </c>
    </row>
    <row r="519" spans="1:15" x14ac:dyDescent="0.35">
      <c r="A519" t="s">
        <v>802</v>
      </c>
      <c r="B519" t="s">
        <v>30</v>
      </c>
      <c r="C519" t="s">
        <v>22</v>
      </c>
      <c r="D519" t="s">
        <v>17</v>
      </c>
      <c r="E519">
        <v>144784</v>
      </c>
      <c r="F519">
        <v>3.9</v>
      </c>
      <c r="G519">
        <v>60</v>
      </c>
      <c r="H519">
        <v>186029</v>
      </c>
      <c r="I519">
        <v>796</v>
      </c>
      <c r="J519" t="s">
        <v>18</v>
      </c>
      <c r="K519">
        <v>7</v>
      </c>
      <c r="L519">
        <v>12.1</v>
      </c>
      <c r="M519" t="s">
        <v>48</v>
      </c>
      <c r="N519" s="7">
        <v>45148</v>
      </c>
      <c r="O519" t="str" cm="1">
        <f t="array" ref="O519">_xlfn.IFS(tbl_loans_clean[[#This Row],[Credit_Score]]&lt;650,"580-649",tbl_loans_clean[[#This Row],[Credit_Score]]&lt;700,"650-699",tbl_loans_clean[[#This Row],[Credit_Score]]&lt;750,"700-749",TRUE,"750+")</f>
        <v>750+</v>
      </c>
    </row>
    <row r="520" spans="1:15" x14ac:dyDescent="0.35">
      <c r="A520" t="s">
        <v>111</v>
      </c>
      <c r="B520" t="s">
        <v>25</v>
      </c>
      <c r="C520" t="s">
        <v>22</v>
      </c>
      <c r="D520" t="s">
        <v>32</v>
      </c>
      <c r="E520">
        <v>704309</v>
      </c>
      <c r="F520">
        <v>8.08</v>
      </c>
      <c r="G520">
        <v>60</v>
      </c>
      <c r="H520">
        <v>187693</v>
      </c>
      <c r="I520">
        <v>678</v>
      </c>
      <c r="J520" t="s">
        <v>26</v>
      </c>
      <c r="K520">
        <v>13.6</v>
      </c>
      <c r="L520">
        <v>29.4</v>
      </c>
      <c r="M520" t="s">
        <v>23</v>
      </c>
      <c r="N520" s="7">
        <v>45149</v>
      </c>
      <c r="O520" t="str" cm="1">
        <f t="array" ref="O520">_xlfn.IFS(tbl_loans_clean[[#This Row],[Credit_Score]]&lt;650,"580-649",tbl_loans_clean[[#This Row],[Credit_Score]]&lt;700,"650-699",tbl_loans_clean[[#This Row],[Credit_Score]]&lt;750,"700-749",TRUE,"750+")</f>
        <v>650-699</v>
      </c>
    </row>
    <row r="521" spans="1:15" x14ac:dyDescent="0.35">
      <c r="A521" t="s">
        <v>704</v>
      </c>
      <c r="B521" t="s">
        <v>28</v>
      </c>
      <c r="C521" t="s">
        <v>22</v>
      </c>
      <c r="D521" t="s">
        <v>73</v>
      </c>
      <c r="E521">
        <v>724174</v>
      </c>
      <c r="F521">
        <v>12.16</v>
      </c>
      <c r="G521">
        <v>300</v>
      </c>
      <c r="H521">
        <v>100227</v>
      </c>
      <c r="I521">
        <v>597</v>
      </c>
      <c r="J521" t="s">
        <v>18</v>
      </c>
      <c r="K521">
        <v>7.3</v>
      </c>
      <c r="L521">
        <v>10.9</v>
      </c>
      <c r="M521" t="s">
        <v>23</v>
      </c>
      <c r="N521" s="7">
        <v>45151</v>
      </c>
      <c r="O521" t="str" cm="1">
        <f t="array" ref="O521">_xlfn.IFS(tbl_loans_clean[[#This Row],[Credit_Score]]&lt;650,"580-649",tbl_loans_clean[[#This Row],[Credit_Score]]&lt;700,"650-699",tbl_loans_clean[[#This Row],[Credit_Score]]&lt;750,"700-749",TRUE,"750+")</f>
        <v>580-649</v>
      </c>
    </row>
    <row r="522" spans="1:15" x14ac:dyDescent="0.35">
      <c r="A522" t="s">
        <v>183</v>
      </c>
      <c r="B522" t="s">
        <v>15</v>
      </c>
      <c r="C522" t="s">
        <v>16</v>
      </c>
      <c r="D522" t="s">
        <v>38</v>
      </c>
      <c r="E522">
        <v>289334</v>
      </c>
      <c r="F522">
        <v>9.86</v>
      </c>
      <c r="G522">
        <v>120</v>
      </c>
      <c r="H522">
        <v>174612</v>
      </c>
      <c r="I522">
        <v>658</v>
      </c>
      <c r="J522" t="s">
        <v>18</v>
      </c>
      <c r="K522">
        <v>24.8</v>
      </c>
      <c r="L522">
        <v>40.5</v>
      </c>
      <c r="M522" t="s">
        <v>23</v>
      </c>
      <c r="N522" s="7">
        <v>45156</v>
      </c>
      <c r="O522" t="str" cm="1">
        <f t="array" ref="O522">_xlfn.IFS(tbl_loans_clean[[#This Row],[Credit_Score]]&lt;650,"580-649",tbl_loans_clean[[#This Row],[Credit_Score]]&lt;700,"650-699",tbl_loans_clean[[#This Row],[Credit_Score]]&lt;750,"700-749",TRUE,"750+")</f>
        <v>650-699</v>
      </c>
    </row>
    <row r="523" spans="1:15" x14ac:dyDescent="0.35">
      <c r="A523" t="s">
        <v>313</v>
      </c>
      <c r="B523" t="s">
        <v>25</v>
      </c>
      <c r="C523" t="s">
        <v>22</v>
      </c>
      <c r="D523" t="s">
        <v>17</v>
      </c>
      <c r="E523">
        <v>112507</v>
      </c>
      <c r="F523">
        <v>14.05</v>
      </c>
      <c r="G523">
        <v>60</v>
      </c>
      <c r="H523">
        <v>115902</v>
      </c>
      <c r="I523">
        <v>605</v>
      </c>
      <c r="J523" t="s">
        <v>18</v>
      </c>
      <c r="K523">
        <v>4.7</v>
      </c>
      <c r="L523">
        <v>36.1</v>
      </c>
      <c r="M523" t="s">
        <v>19</v>
      </c>
      <c r="N523" s="7">
        <v>45156</v>
      </c>
      <c r="O523" t="str" cm="1">
        <f t="array" ref="O523">_xlfn.IFS(tbl_loans_clean[[#This Row],[Credit_Score]]&lt;650,"580-649",tbl_loans_clean[[#This Row],[Credit_Score]]&lt;700,"650-699",tbl_loans_clean[[#This Row],[Credit_Score]]&lt;750,"700-749",TRUE,"750+")</f>
        <v>580-649</v>
      </c>
    </row>
    <row r="524" spans="1:15" x14ac:dyDescent="0.35">
      <c r="A524" t="s">
        <v>710</v>
      </c>
      <c r="B524" t="s">
        <v>30</v>
      </c>
      <c r="C524" t="s">
        <v>34</v>
      </c>
      <c r="D524" t="s">
        <v>17</v>
      </c>
      <c r="E524">
        <v>704158</v>
      </c>
      <c r="F524">
        <v>4.26</v>
      </c>
      <c r="G524">
        <v>48</v>
      </c>
      <c r="H524">
        <v>178653</v>
      </c>
      <c r="I524">
        <v>816</v>
      </c>
      <c r="J524" t="s">
        <v>18</v>
      </c>
      <c r="K524">
        <v>23.4</v>
      </c>
      <c r="L524">
        <v>30.2</v>
      </c>
      <c r="M524" t="s">
        <v>23</v>
      </c>
      <c r="N524" s="7">
        <v>45157</v>
      </c>
      <c r="O524" t="str" cm="1">
        <f t="array" ref="O524">_xlfn.IFS(tbl_loans_clean[[#This Row],[Credit_Score]]&lt;650,"580-649",tbl_loans_clean[[#This Row],[Credit_Score]]&lt;700,"650-699",tbl_loans_clean[[#This Row],[Credit_Score]]&lt;750,"700-749",TRUE,"750+")</f>
        <v>750+</v>
      </c>
    </row>
    <row r="525" spans="1:15" x14ac:dyDescent="0.35">
      <c r="A525" t="s">
        <v>51</v>
      </c>
      <c r="B525" t="s">
        <v>30</v>
      </c>
      <c r="C525" t="s">
        <v>16</v>
      </c>
      <c r="D525" t="s">
        <v>52</v>
      </c>
      <c r="E525">
        <v>440633</v>
      </c>
      <c r="F525">
        <v>11.17</v>
      </c>
      <c r="G525">
        <v>48</v>
      </c>
      <c r="H525">
        <v>121715</v>
      </c>
      <c r="I525">
        <v>597</v>
      </c>
      <c r="J525" t="s">
        <v>39</v>
      </c>
      <c r="K525">
        <v>7.6</v>
      </c>
      <c r="L525">
        <v>14.2</v>
      </c>
      <c r="M525" t="s">
        <v>23</v>
      </c>
      <c r="N525" s="7">
        <v>45159</v>
      </c>
      <c r="O525" t="str" cm="1">
        <f t="array" ref="O525">_xlfn.IFS(tbl_loans_clean[[#This Row],[Credit_Score]]&lt;650,"580-649",tbl_loans_clean[[#This Row],[Credit_Score]]&lt;700,"650-699",tbl_loans_clean[[#This Row],[Credit_Score]]&lt;750,"700-749",TRUE,"750+")</f>
        <v>580-649</v>
      </c>
    </row>
    <row r="526" spans="1:15" x14ac:dyDescent="0.35">
      <c r="A526" t="s">
        <v>697</v>
      </c>
      <c r="B526" t="s">
        <v>30</v>
      </c>
      <c r="C526" t="s">
        <v>34</v>
      </c>
      <c r="D526" t="s">
        <v>45</v>
      </c>
      <c r="E526">
        <v>720339</v>
      </c>
      <c r="F526">
        <v>5.69</v>
      </c>
      <c r="G526">
        <v>48</v>
      </c>
      <c r="H526">
        <v>48039</v>
      </c>
      <c r="I526">
        <v>659</v>
      </c>
      <c r="J526" t="s">
        <v>18</v>
      </c>
      <c r="K526">
        <v>20</v>
      </c>
      <c r="L526">
        <v>38.5</v>
      </c>
      <c r="M526" t="s">
        <v>19</v>
      </c>
      <c r="N526" s="7">
        <v>45159</v>
      </c>
      <c r="O526" t="str" cm="1">
        <f t="array" ref="O526">_xlfn.IFS(tbl_loans_clean[[#This Row],[Credit_Score]]&lt;650,"580-649",tbl_loans_clean[[#This Row],[Credit_Score]]&lt;700,"650-699",tbl_loans_clean[[#This Row],[Credit_Score]]&lt;750,"700-749",TRUE,"750+")</f>
        <v>650-699</v>
      </c>
    </row>
    <row r="527" spans="1:15" x14ac:dyDescent="0.35">
      <c r="A527" t="s">
        <v>341</v>
      </c>
      <c r="B527" t="s">
        <v>30</v>
      </c>
      <c r="C527" t="s">
        <v>22</v>
      </c>
      <c r="D527" t="s">
        <v>38</v>
      </c>
      <c r="E527">
        <v>682800</v>
      </c>
      <c r="F527">
        <v>3.98</v>
      </c>
      <c r="G527">
        <v>12</v>
      </c>
      <c r="H527">
        <v>74418</v>
      </c>
      <c r="I527">
        <v>762</v>
      </c>
      <c r="J527" t="s">
        <v>26</v>
      </c>
      <c r="K527">
        <v>13</v>
      </c>
      <c r="L527">
        <v>9.6999999999999993</v>
      </c>
      <c r="M527" t="s">
        <v>55</v>
      </c>
      <c r="N527" s="7">
        <v>45163</v>
      </c>
      <c r="O527" t="str" cm="1">
        <f t="array" ref="O527">_xlfn.IFS(tbl_loans_clean[[#This Row],[Credit_Score]]&lt;650,"580-649",tbl_loans_clean[[#This Row],[Credit_Score]]&lt;700,"650-699",tbl_loans_clean[[#This Row],[Credit_Score]]&lt;750,"700-749",TRUE,"750+")</f>
        <v>750+</v>
      </c>
    </row>
    <row r="528" spans="1:15" x14ac:dyDescent="0.35">
      <c r="A528" t="s">
        <v>827</v>
      </c>
      <c r="B528" t="s">
        <v>83</v>
      </c>
      <c r="C528" t="s">
        <v>22</v>
      </c>
      <c r="D528" t="s">
        <v>45</v>
      </c>
      <c r="E528">
        <v>514565</v>
      </c>
      <c r="F528">
        <v>13.47</v>
      </c>
      <c r="G528">
        <v>48</v>
      </c>
      <c r="H528">
        <v>155732</v>
      </c>
      <c r="I528">
        <v>793</v>
      </c>
      <c r="J528" t="s">
        <v>26</v>
      </c>
      <c r="K528">
        <v>11.2</v>
      </c>
      <c r="L528">
        <v>35.700000000000003</v>
      </c>
      <c r="M528" t="s">
        <v>23</v>
      </c>
      <c r="N528" s="7">
        <v>45163</v>
      </c>
      <c r="O528" t="str" cm="1">
        <f t="array" ref="O528">_xlfn.IFS(tbl_loans_clean[[#This Row],[Credit_Score]]&lt;650,"580-649",tbl_loans_clean[[#This Row],[Credit_Score]]&lt;700,"650-699",tbl_loans_clean[[#This Row],[Credit_Score]]&lt;750,"700-749",TRUE,"750+")</f>
        <v>750+</v>
      </c>
    </row>
    <row r="529" spans="1:15" x14ac:dyDescent="0.35">
      <c r="A529" t="s">
        <v>130</v>
      </c>
      <c r="B529" t="s">
        <v>15</v>
      </c>
      <c r="C529" t="s">
        <v>22</v>
      </c>
      <c r="D529" t="s">
        <v>38</v>
      </c>
      <c r="E529">
        <v>180767</v>
      </c>
      <c r="F529">
        <v>14.14</v>
      </c>
      <c r="G529">
        <v>12</v>
      </c>
      <c r="H529">
        <v>29893</v>
      </c>
      <c r="I529">
        <v>798</v>
      </c>
      <c r="J529" t="s">
        <v>26</v>
      </c>
      <c r="K529">
        <v>16.100000000000001</v>
      </c>
      <c r="L529">
        <v>13.3</v>
      </c>
      <c r="M529" t="s">
        <v>19</v>
      </c>
      <c r="N529" s="7">
        <v>45164</v>
      </c>
      <c r="O529" t="str" cm="1">
        <f t="array" ref="O529">_xlfn.IFS(tbl_loans_clean[[#This Row],[Credit_Score]]&lt;650,"580-649",tbl_loans_clean[[#This Row],[Credit_Score]]&lt;700,"650-699",tbl_loans_clean[[#This Row],[Credit_Score]]&lt;750,"700-749",TRUE,"750+")</f>
        <v>750+</v>
      </c>
    </row>
    <row r="530" spans="1:15" x14ac:dyDescent="0.35">
      <c r="A530" t="s">
        <v>545</v>
      </c>
      <c r="B530" t="s">
        <v>25</v>
      </c>
      <c r="C530" t="s">
        <v>16</v>
      </c>
      <c r="D530" t="s">
        <v>45</v>
      </c>
      <c r="E530">
        <v>561718</v>
      </c>
      <c r="F530">
        <v>5.12</v>
      </c>
      <c r="G530">
        <v>240</v>
      </c>
      <c r="H530">
        <v>164694</v>
      </c>
      <c r="I530">
        <v>768</v>
      </c>
      <c r="J530" t="s">
        <v>26</v>
      </c>
      <c r="K530">
        <v>11.2</v>
      </c>
      <c r="L530">
        <v>26</v>
      </c>
      <c r="M530" t="s">
        <v>23</v>
      </c>
      <c r="N530" s="7">
        <v>45165</v>
      </c>
      <c r="O530" t="str" cm="1">
        <f t="array" ref="O530">_xlfn.IFS(tbl_loans_clean[[#This Row],[Credit_Score]]&lt;650,"580-649",tbl_loans_clean[[#This Row],[Credit_Score]]&lt;700,"650-699",tbl_loans_clean[[#This Row],[Credit_Score]]&lt;750,"700-749",TRUE,"750+")</f>
        <v>750+</v>
      </c>
    </row>
    <row r="531" spans="1:15" x14ac:dyDescent="0.35">
      <c r="A531" t="s">
        <v>116</v>
      </c>
      <c r="B531" t="s">
        <v>28</v>
      </c>
      <c r="C531" t="s">
        <v>22</v>
      </c>
      <c r="D531" t="s">
        <v>17</v>
      </c>
      <c r="E531">
        <v>648907</v>
      </c>
      <c r="F531">
        <v>14.17</v>
      </c>
      <c r="G531">
        <v>120</v>
      </c>
      <c r="H531">
        <v>122634</v>
      </c>
      <c r="I531">
        <v>621</v>
      </c>
      <c r="J531" t="s">
        <v>18</v>
      </c>
      <c r="K531">
        <v>10.199999999999999</v>
      </c>
      <c r="L531">
        <v>19.100000000000001</v>
      </c>
      <c r="M531" t="s">
        <v>55</v>
      </c>
      <c r="N531" s="7">
        <v>45169</v>
      </c>
      <c r="O531" t="str" cm="1">
        <f t="array" ref="O531">_xlfn.IFS(tbl_loans_clean[[#This Row],[Credit_Score]]&lt;650,"580-649",tbl_loans_clean[[#This Row],[Credit_Score]]&lt;700,"650-699",tbl_loans_clean[[#This Row],[Credit_Score]]&lt;750,"700-749",TRUE,"750+")</f>
        <v>580-649</v>
      </c>
    </row>
    <row r="532" spans="1:15" x14ac:dyDescent="0.35">
      <c r="A532" t="s">
        <v>657</v>
      </c>
      <c r="B532" t="s">
        <v>71</v>
      </c>
      <c r="C532" t="s">
        <v>34</v>
      </c>
      <c r="D532" t="s">
        <v>17</v>
      </c>
      <c r="E532">
        <v>538459</v>
      </c>
      <c r="F532">
        <v>12.67</v>
      </c>
      <c r="G532">
        <v>12</v>
      </c>
      <c r="H532">
        <v>204336</v>
      </c>
      <c r="I532">
        <v>773</v>
      </c>
      <c r="J532" t="s">
        <v>18</v>
      </c>
      <c r="K532">
        <v>4.5</v>
      </c>
      <c r="L532">
        <v>35.700000000000003</v>
      </c>
      <c r="M532" t="s">
        <v>19</v>
      </c>
      <c r="N532" s="7">
        <v>45169</v>
      </c>
      <c r="O532" t="str" cm="1">
        <f t="array" ref="O532">_xlfn.IFS(tbl_loans_clean[[#This Row],[Credit_Score]]&lt;650,"580-649",tbl_loans_clean[[#This Row],[Credit_Score]]&lt;700,"650-699",tbl_loans_clean[[#This Row],[Credit_Score]]&lt;750,"700-749",TRUE,"750+")</f>
        <v>750+</v>
      </c>
    </row>
    <row r="533" spans="1:15" x14ac:dyDescent="0.35">
      <c r="A533" t="s">
        <v>105</v>
      </c>
      <c r="B533" t="s">
        <v>15</v>
      </c>
      <c r="C533" t="s">
        <v>16</v>
      </c>
      <c r="D533" t="s">
        <v>43</v>
      </c>
      <c r="E533">
        <v>131060</v>
      </c>
      <c r="F533">
        <v>7.93</v>
      </c>
      <c r="G533">
        <v>60</v>
      </c>
      <c r="H533">
        <v>67346</v>
      </c>
      <c r="I533">
        <v>761</v>
      </c>
      <c r="J533" t="s">
        <v>26</v>
      </c>
      <c r="K533">
        <v>14.4</v>
      </c>
      <c r="L533">
        <v>10.6</v>
      </c>
      <c r="M533" t="s">
        <v>23</v>
      </c>
      <c r="N533" s="7">
        <v>45173</v>
      </c>
      <c r="O533" t="str" cm="1">
        <f t="array" ref="O533">_xlfn.IFS(tbl_loans_clean[[#This Row],[Credit_Score]]&lt;650,"580-649",tbl_loans_clean[[#This Row],[Credit_Score]]&lt;700,"650-699",tbl_loans_clean[[#This Row],[Credit_Score]]&lt;750,"700-749",TRUE,"750+")</f>
        <v>750+</v>
      </c>
    </row>
    <row r="534" spans="1:15" x14ac:dyDescent="0.35">
      <c r="A534" t="s">
        <v>565</v>
      </c>
      <c r="B534" t="s">
        <v>25</v>
      </c>
      <c r="C534" t="s">
        <v>22</v>
      </c>
      <c r="D534" t="s">
        <v>32</v>
      </c>
      <c r="E534">
        <v>500164</v>
      </c>
      <c r="F534">
        <v>7.98</v>
      </c>
      <c r="G534">
        <v>240</v>
      </c>
      <c r="H534">
        <v>206066</v>
      </c>
      <c r="I534">
        <v>621</v>
      </c>
      <c r="J534" t="s">
        <v>39</v>
      </c>
      <c r="K534">
        <v>7.2</v>
      </c>
      <c r="L534">
        <v>14.7</v>
      </c>
      <c r="M534" t="s">
        <v>23</v>
      </c>
      <c r="N534" s="7">
        <v>45175</v>
      </c>
      <c r="O534" t="str" cm="1">
        <f t="array" ref="O534">_xlfn.IFS(tbl_loans_clean[[#This Row],[Credit_Score]]&lt;650,"580-649",tbl_loans_clean[[#This Row],[Credit_Score]]&lt;700,"650-699",tbl_loans_clean[[#This Row],[Credit_Score]]&lt;750,"700-749",TRUE,"750+")</f>
        <v>580-649</v>
      </c>
    </row>
    <row r="535" spans="1:15" x14ac:dyDescent="0.35">
      <c r="A535" t="s">
        <v>102</v>
      </c>
      <c r="B535" t="s">
        <v>25</v>
      </c>
      <c r="C535" t="s">
        <v>16</v>
      </c>
      <c r="D535" t="s">
        <v>73</v>
      </c>
      <c r="E535">
        <v>379313</v>
      </c>
      <c r="F535">
        <v>10.79</v>
      </c>
      <c r="G535">
        <v>48</v>
      </c>
      <c r="H535">
        <v>114226</v>
      </c>
      <c r="I535">
        <v>707</v>
      </c>
      <c r="J535" t="s">
        <v>18</v>
      </c>
      <c r="K535">
        <v>6.9</v>
      </c>
      <c r="L535">
        <v>28.7</v>
      </c>
      <c r="M535" t="s">
        <v>23</v>
      </c>
      <c r="N535" s="7">
        <v>45176</v>
      </c>
      <c r="O535" t="str" cm="1">
        <f t="array" ref="O535">_xlfn.IFS(tbl_loans_clean[[#This Row],[Credit_Score]]&lt;650,"580-649",tbl_loans_clean[[#This Row],[Credit_Score]]&lt;700,"650-699",tbl_loans_clean[[#This Row],[Credit_Score]]&lt;750,"700-749",TRUE,"750+")</f>
        <v>700-749</v>
      </c>
    </row>
    <row r="536" spans="1:15" x14ac:dyDescent="0.35">
      <c r="A536" t="s">
        <v>493</v>
      </c>
      <c r="B536" t="s">
        <v>15</v>
      </c>
      <c r="C536" t="s">
        <v>22</v>
      </c>
      <c r="D536" t="s">
        <v>32</v>
      </c>
      <c r="E536">
        <v>186196</v>
      </c>
      <c r="F536">
        <v>10.59</v>
      </c>
      <c r="G536">
        <v>120</v>
      </c>
      <c r="H536">
        <v>163830</v>
      </c>
      <c r="I536">
        <v>597</v>
      </c>
      <c r="J536" t="s">
        <v>18</v>
      </c>
      <c r="K536">
        <v>7.6</v>
      </c>
      <c r="L536">
        <v>13.2</v>
      </c>
      <c r="M536" t="s">
        <v>23</v>
      </c>
      <c r="N536" s="7">
        <v>45177</v>
      </c>
      <c r="O536" t="str" cm="1">
        <f t="array" ref="O536">_xlfn.IFS(tbl_loans_clean[[#This Row],[Credit_Score]]&lt;650,"580-649",tbl_loans_clean[[#This Row],[Credit_Score]]&lt;700,"650-699",tbl_loans_clean[[#This Row],[Credit_Score]]&lt;750,"700-749",TRUE,"750+")</f>
        <v>580-649</v>
      </c>
    </row>
    <row r="537" spans="1:15" x14ac:dyDescent="0.35">
      <c r="A537" t="s">
        <v>85</v>
      </c>
      <c r="B537" t="s">
        <v>28</v>
      </c>
      <c r="C537" t="s">
        <v>22</v>
      </c>
      <c r="D537" t="s">
        <v>38</v>
      </c>
      <c r="E537">
        <v>328660</v>
      </c>
      <c r="F537">
        <v>6.45</v>
      </c>
      <c r="G537">
        <v>36</v>
      </c>
      <c r="H537">
        <v>211736</v>
      </c>
      <c r="I537">
        <v>761</v>
      </c>
      <c r="J537" t="s">
        <v>39</v>
      </c>
      <c r="K537">
        <v>2.1</v>
      </c>
      <c r="L537">
        <v>9.6999999999999993</v>
      </c>
      <c r="M537" t="s">
        <v>23</v>
      </c>
      <c r="N537" s="7">
        <v>45178</v>
      </c>
      <c r="O537" t="str" cm="1">
        <f t="array" ref="O537">_xlfn.IFS(tbl_loans_clean[[#This Row],[Credit_Score]]&lt;650,"580-649",tbl_loans_clean[[#This Row],[Credit_Score]]&lt;700,"650-699",tbl_loans_clean[[#This Row],[Credit_Score]]&lt;750,"700-749",TRUE,"750+")</f>
        <v>750+</v>
      </c>
    </row>
    <row r="538" spans="1:15" x14ac:dyDescent="0.35">
      <c r="A538" t="s">
        <v>193</v>
      </c>
      <c r="B538" t="s">
        <v>30</v>
      </c>
      <c r="C538" t="s">
        <v>22</v>
      </c>
      <c r="D538" t="s">
        <v>17</v>
      </c>
      <c r="E538">
        <v>198392</v>
      </c>
      <c r="F538">
        <v>6.01</v>
      </c>
      <c r="G538">
        <v>60</v>
      </c>
      <c r="H538">
        <v>187441</v>
      </c>
      <c r="I538">
        <v>661</v>
      </c>
      <c r="J538" t="s">
        <v>18</v>
      </c>
      <c r="K538">
        <v>1.5</v>
      </c>
      <c r="L538">
        <v>45.4</v>
      </c>
      <c r="M538" t="s">
        <v>19</v>
      </c>
      <c r="N538" s="7">
        <v>45178</v>
      </c>
      <c r="O538" t="str" cm="1">
        <f t="array" ref="O538">_xlfn.IFS(tbl_loans_clean[[#This Row],[Credit_Score]]&lt;650,"580-649",tbl_loans_clean[[#This Row],[Credit_Score]]&lt;700,"650-699",tbl_loans_clean[[#This Row],[Credit_Score]]&lt;750,"700-749",TRUE,"750+")</f>
        <v>650-699</v>
      </c>
    </row>
    <row r="539" spans="1:15" x14ac:dyDescent="0.35">
      <c r="A539" t="s">
        <v>619</v>
      </c>
      <c r="B539" t="s">
        <v>71</v>
      </c>
      <c r="C539" t="s">
        <v>16</v>
      </c>
      <c r="D539" t="s">
        <v>45</v>
      </c>
      <c r="E539">
        <v>623071</v>
      </c>
      <c r="F539">
        <v>7.07</v>
      </c>
      <c r="G539">
        <v>240</v>
      </c>
      <c r="H539">
        <v>101324</v>
      </c>
      <c r="I539">
        <v>826</v>
      </c>
      <c r="J539" t="s">
        <v>18</v>
      </c>
      <c r="K539">
        <v>10.1</v>
      </c>
      <c r="L539">
        <v>38</v>
      </c>
      <c r="M539" t="s">
        <v>23</v>
      </c>
      <c r="N539" s="7">
        <v>45180</v>
      </c>
      <c r="O539" t="str" cm="1">
        <f t="array" ref="O539">_xlfn.IFS(tbl_loans_clean[[#This Row],[Credit_Score]]&lt;650,"580-649",tbl_loans_clean[[#This Row],[Credit_Score]]&lt;700,"650-699",tbl_loans_clean[[#This Row],[Credit_Score]]&lt;750,"700-749",TRUE,"750+")</f>
        <v>750+</v>
      </c>
    </row>
    <row r="540" spans="1:15" x14ac:dyDescent="0.35">
      <c r="A540" t="s">
        <v>436</v>
      </c>
      <c r="B540" t="s">
        <v>30</v>
      </c>
      <c r="C540" t="s">
        <v>22</v>
      </c>
      <c r="D540" t="s">
        <v>38</v>
      </c>
      <c r="E540">
        <v>245891</v>
      </c>
      <c r="F540">
        <v>12.2</v>
      </c>
      <c r="G540">
        <v>24</v>
      </c>
      <c r="H540">
        <v>128088</v>
      </c>
      <c r="I540">
        <v>623</v>
      </c>
      <c r="J540" t="s">
        <v>18</v>
      </c>
      <c r="K540">
        <v>22.5</v>
      </c>
      <c r="L540">
        <v>30.3</v>
      </c>
      <c r="M540" t="s">
        <v>23</v>
      </c>
      <c r="N540" s="7">
        <v>45181</v>
      </c>
      <c r="O540" t="str" cm="1">
        <f t="array" ref="O540">_xlfn.IFS(tbl_loans_clean[[#This Row],[Credit_Score]]&lt;650,"580-649",tbl_loans_clean[[#This Row],[Credit_Score]]&lt;700,"650-699",tbl_loans_clean[[#This Row],[Credit_Score]]&lt;750,"700-749",TRUE,"750+")</f>
        <v>580-649</v>
      </c>
    </row>
    <row r="541" spans="1:15" x14ac:dyDescent="0.35">
      <c r="A541" t="s">
        <v>166</v>
      </c>
      <c r="B541" t="s">
        <v>15</v>
      </c>
      <c r="C541" t="s">
        <v>22</v>
      </c>
      <c r="D541" t="s">
        <v>17</v>
      </c>
      <c r="E541">
        <v>426280</v>
      </c>
      <c r="F541">
        <v>14.02</v>
      </c>
      <c r="G541">
        <v>36</v>
      </c>
      <c r="H541">
        <v>118909</v>
      </c>
      <c r="I541">
        <v>606</v>
      </c>
      <c r="J541" t="s">
        <v>35</v>
      </c>
      <c r="K541">
        <v>20.7</v>
      </c>
      <c r="L541">
        <v>38.799999999999997</v>
      </c>
      <c r="M541" t="s">
        <v>19</v>
      </c>
      <c r="N541" s="7">
        <v>45184</v>
      </c>
      <c r="O541" t="str" cm="1">
        <f t="array" ref="O541">_xlfn.IFS(tbl_loans_clean[[#This Row],[Credit_Score]]&lt;650,"580-649",tbl_loans_clean[[#This Row],[Credit_Score]]&lt;700,"650-699",tbl_loans_clean[[#This Row],[Credit_Score]]&lt;750,"700-749",TRUE,"750+")</f>
        <v>580-649</v>
      </c>
    </row>
    <row r="542" spans="1:15" x14ac:dyDescent="0.35">
      <c r="A542" t="s">
        <v>369</v>
      </c>
      <c r="B542" t="s">
        <v>28</v>
      </c>
      <c r="C542" t="s">
        <v>22</v>
      </c>
      <c r="D542" t="s">
        <v>32</v>
      </c>
      <c r="E542">
        <v>290622</v>
      </c>
      <c r="F542">
        <v>9.32</v>
      </c>
      <c r="G542">
        <v>36</v>
      </c>
      <c r="H542">
        <v>200870</v>
      </c>
      <c r="I542">
        <v>771</v>
      </c>
      <c r="J542" t="s">
        <v>18</v>
      </c>
      <c r="K542">
        <v>14.2</v>
      </c>
      <c r="L542">
        <v>11.6</v>
      </c>
      <c r="M542" t="s">
        <v>23</v>
      </c>
      <c r="N542" s="7">
        <v>45187</v>
      </c>
      <c r="O542" t="str" cm="1">
        <f t="array" ref="O542">_xlfn.IFS(tbl_loans_clean[[#This Row],[Credit_Score]]&lt;650,"580-649",tbl_loans_clean[[#This Row],[Credit_Score]]&lt;700,"650-699",tbl_loans_clean[[#This Row],[Credit_Score]]&lt;750,"700-749",TRUE,"750+")</f>
        <v>750+</v>
      </c>
    </row>
    <row r="543" spans="1:15" x14ac:dyDescent="0.35">
      <c r="A543" t="s">
        <v>466</v>
      </c>
      <c r="B543" t="s">
        <v>30</v>
      </c>
      <c r="C543" t="s">
        <v>22</v>
      </c>
      <c r="D543" t="s">
        <v>32</v>
      </c>
      <c r="E543">
        <v>418523</v>
      </c>
      <c r="F543">
        <v>6.85</v>
      </c>
      <c r="G543">
        <v>300</v>
      </c>
      <c r="H543">
        <v>215428</v>
      </c>
      <c r="I543">
        <v>754</v>
      </c>
      <c r="J543" t="s">
        <v>39</v>
      </c>
      <c r="K543">
        <v>15.8</v>
      </c>
      <c r="L543">
        <v>34.700000000000003</v>
      </c>
      <c r="M543" t="s">
        <v>23</v>
      </c>
      <c r="N543" s="7">
        <v>45189</v>
      </c>
      <c r="O543" t="str" cm="1">
        <f t="array" ref="O543">_xlfn.IFS(tbl_loans_clean[[#This Row],[Credit_Score]]&lt;650,"580-649",tbl_loans_clean[[#This Row],[Credit_Score]]&lt;700,"650-699",tbl_loans_clean[[#This Row],[Credit_Score]]&lt;750,"700-749",TRUE,"750+")</f>
        <v>750+</v>
      </c>
    </row>
    <row r="544" spans="1:15" x14ac:dyDescent="0.35">
      <c r="A544" t="s">
        <v>551</v>
      </c>
      <c r="B544" t="s">
        <v>28</v>
      </c>
      <c r="C544" t="s">
        <v>34</v>
      </c>
      <c r="D544" t="s">
        <v>52</v>
      </c>
      <c r="E544">
        <v>255541</v>
      </c>
      <c r="F544">
        <v>12.27</v>
      </c>
      <c r="G544">
        <v>120</v>
      </c>
      <c r="H544">
        <v>91212</v>
      </c>
      <c r="I544">
        <v>835</v>
      </c>
      <c r="J544" t="s">
        <v>39</v>
      </c>
      <c r="K544">
        <v>4</v>
      </c>
      <c r="L544">
        <v>34.6</v>
      </c>
      <c r="M544" t="s">
        <v>23</v>
      </c>
      <c r="N544" s="7">
        <v>45189</v>
      </c>
      <c r="O544" t="str" cm="1">
        <f t="array" ref="O544">_xlfn.IFS(tbl_loans_clean[[#This Row],[Credit_Score]]&lt;650,"580-649",tbl_loans_clean[[#This Row],[Credit_Score]]&lt;700,"650-699",tbl_loans_clean[[#This Row],[Credit_Score]]&lt;750,"700-749",TRUE,"750+")</f>
        <v>750+</v>
      </c>
    </row>
    <row r="545" spans="1:15" x14ac:dyDescent="0.35">
      <c r="A545" t="s">
        <v>409</v>
      </c>
      <c r="B545" t="s">
        <v>83</v>
      </c>
      <c r="C545" t="s">
        <v>16</v>
      </c>
      <c r="D545" t="s">
        <v>17</v>
      </c>
      <c r="E545">
        <v>296464</v>
      </c>
      <c r="F545">
        <v>5.4</v>
      </c>
      <c r="G545">
        <v>36</v>
      </c>
      <c r="H545">
        <v>190023</v>
      </c>
      <c r="I545">
        <v>846</v>
      </c>
      <c r="J545" t="s">
        <v>18</v>
      </c>
      <c r="K545">
        <v>18.100000000000001</v>
      </c>
      <c r="L545">
        <v>36.6</v>
      </c>
      <c r="M545" t="s">
        <v>19</v>
      </c>
      <c r="N545" s="7">
        <v>45194</v>
      </c>
      <c r="O545" t="str" cm="1">
        <f t="array" ref="O545">_xlfn.IFS(tbl_loans_clean[[#This Row],[Credit_Score]]&lt;650,"580-649",tbl_loans_clean[[#This Row],[Credit_Score]]&lt;700,"650-699",tbl_loans_clean[[#This Row],[Credit_Score]]&lt;750,"700-749",TRUE,"750+")</f>
        <v>750+</v>
      </c>
    </row>
    <row r="546" spans="1:15" x14ac:dyDescent="0.35">
      <c r="A546" t="s">
        <v>131</v>
      </c>
      <c r="B546" t="s">
        <v>30</v>
      </c>
      <c r="C546" t="s">
        <v>16</v>
      </c>
      <c r="D546" t="s">
        <v>17</v>
      </c>
      <c r="E546">
        <v>241281</v>
      </c>
      <c r="F546">
        <v>10.02</v>
      </c>
      <c r="G546">
        <v>240</v>
      </c>
      <c r="H546">
        <v>58573</v>
      </c>
      <c r="I546">
        <v>595</v>
      </c>
      <c r="J546" t="s">
        <v>39</v>
      </c>
      <c r="K546">
        <v>16.3</v>
      </c>
      <c r="L546">
        <v>39</v>
      </c>
      <c r="M546" t="s">
        <v>55</v>
      </c>
      <c r="N546" s="7">
        <v>45195</v>
      </c>
      <c r="O546" t="str" cm="1">
        <f t="array" ref="O546">_xlfn.IFS(tbl_loans_clean[[#This Row],[Credit_Score]]&lt;650,"580-649",tbl_loans_clean[[#This Row],[Credit_Score]]&lt;700,"650-699",tbl_loans_clean[[#This Row],[Credit_Score]]&lt;750,"700-749",TRUE,"750+")</f>
        <v>580-649</v>
      </c>
    </row>
    <row r="547" spans="1:15" x14ac:dyDescent="0.35">
      <c r="A547" t="s">
        <v>752</v>
      </c>
      <c r="B547" t="s">
        <v>25</v>
      </c>
      <c r="C547" t="s">
        <v>34</v>
      </c>
      <c r="D547" t="s">
        <v>32</v>
      </c>
      <c r="E547">
        <v>54976</v>
      </c>
      <c r="F547">
        <v>5.16</v>
      </c>
      <c r="G547">
        <v>120</v>
      </c>
      <c r="H547">
        <v>98474</v>
      </c>
      <c r="I547">
        <v>847</v>
      </c>
      <c r="J547" t="s">
        <v>18</v>
      </c>
      <c r="K547">
        <v>23.8</v>
      </c>
      <c r="L547">
        <v>23.7</v>
      </c>
      <c r="M547" t="s">
        <v>19</v>
      </c>
      <c r="N547" s="7">
        <v>45195</v>
      </c>
      <c r="O547" t="str" cm="1">
        <f t="array" ref="O547">_xlfn.IFS(tbl_loans_clean[[#This Row],[Credit_Score]]&lt;650,"580-649",tbl_loans_clean[[#This Row],[Credit_Score]]&lt;700,"650-699",tbl_loans_clean[[#This Row],[Credit_Score]]&lt;750,"700-749",TRUE,"750+")</f>
        <v>750+</v>
      </c>
    </row>
    <row r="548" spans="1:15" x14ac:dyDescent="0.35">
      <c r="A548" t="s">
        <v>481</v>
      </c>
      <c r="B548" t="s">
        <v>30</v>
      </c>
      <c r="C548" t="s">
        <v>22</v>
      </c>
      <c r="D548" t="s">
        <v>17</v>
      </c>
      <c r="E548">
        <v>428332</v>
      </c>
      <c r="F548">
        <v>12.32</v>
      </c>
      <c r="G548">
        <v>24</v>
      </c>
      <c r="H548">
        <v>36876</v>
      </c>
      <c r="I548">
        <v>797</v>
      </c>
      <c r="J548" t="s">
        <v>18</v>
      </c>
      <c r="K548">
        <v>5.4</v>
      </c>
      <c r="L548">
        <v>23.9</v>
      </c>
      <c r="M548" t="s">
        <v>19</v>
      </c>
      <c r="N548" s="7">
        <v>45198</v>
      </c>
      <c r="O548" t="str" cm="1">
        <f t="array" ref="O548">_xlfn.IFS(tbl_loans_clean[[#This Row],[Credit_Score]]&lt;650,"580-649",tbl_loans_clean[[#This Row],[Credit_Score]]&lt;700,"650-699",tbl_loans_clean[[#This Row],[Credit_Score]]&lt;750,"700-749",TRUE,"750+")</f>
        <v>750+</v>
      </c>
    </row>
    <row r="549" spans="1:15" x14ac:dyDescent="0.35">
      <c r="A549" t="s">
        <v>654</v>
      </c>
      <c r="B549" t="s">
        <v>28</v>
      </c>
      <c r="C549" t="s">
        <v>22</v>
      </c>
      <c r="D549" t="s">
        <v>17</v>
      </c>
      <c r="E549">
        <v>97764</v>
      </c>
      <c r="F549">
        <v>11.58</v>
      </c>
      <c r="G549">
        <v>12</v>
      </c>
      <c r="H549">
        <v>53363</v>
      </c>
      <c r="I549">
        <v>696</v>
      </c>
      <c r="J549" t="s">
        <v>18</v>
      </c>
      <c r="K549">
        <v>13.3</v>
      </c>
      <c r="L549">
        <v>22.3</v>
      </c>
      <c r="M549" t="s">
        <v>48</v>
      </c>
      <c r="N549" s="7">
        <v>45201</v>
      </c>
      <c r="O549" t="str" cm="1">
        <f t="array" ref="O549">_xlfn.IFS(tbl_loans_clean[[#This Row],[Credit_Score]]&lt;650,"580-649",tbl_loans_clean[[#This Row],[Credit_Score]]&lt;700,"650-699",tbl_loans_clean[[#This Row],[Credit_Score]]&lt;750,"700-749",TRUE,"750+")</f>
        <v>650-699</v>
      </c>
    </row>
    <row r="550" spans="1:15" x14ac:dyDescent="0.35">
      <c r="A550" t="s">
        <v>279</v>
      </c>
      <c r="B550" t="s">
        <v>28</v>
      </c>
      <c r="C550" t="s">
        <v>22</v>
      </c>
      <c r="D550" t="s">
        <v>73</v>
      </c>
      <c r="E550">
        <v>518313</v>
      </c>
      <c r="F550">
        <v>10.85</v>
      </c>
      <c r="G550">
        <v>300</v>
      </c>
      <c r="H550">
        <v>151723</v>
      </c>
      <c r="I550">
        <v>733</v>
      </c>
      <c r="J550" t="s">
        <v>18</v>
      </c>
      <c r="K550">
        <v>15.1</v>
      </c>
      <c r="L550">
        <v>36.9</v>
      </c>
      <c r="M550" t="s">
        <v>55</v>
      </c>
      <c r="N550" s="7">
        <v>45209</v>
      </c>
      <c r="O550" t="str" cm="1">
        <f t="array" ref="O550">_xlfn.IFS(tbl_loans_clean[[#This Row],[Credit_Score]]&lt;650,"580-649",tbl_loans_clean[[#This Row],[Credit_Score]]&lt;700,"650-699",tbl_loans_clean[[#This Row],[Credit_Score]]&lt;750,"700-749",TRUE,"750+")</f>
        <v>700-749</v>
      </c>
    </row>
    <row r="551" spans="1:15" x14ac:dyDescent="0.35">
      <c r="A551" t="s">
        <v>266</v>
      </c>
      <c r="B551" t="s">
        <v>30</v>
      </c>
      <c r="C551" t="s">
        <v>22</v>
      </c>
      <c r="D551" t="s">
        <v>32</v>
      </c>
      <c r="E551">
        <v>27031</v>
      </c>
      <c r="F551">
        <v>13.53</v>
      </c>
      <c r="G551">
        <v>36</v>
      </c>
      <c r="H551">
        <v>167005</v>
      </c>
      <c r="I551">
        <v>711</v>
      </c>
      <c r="J551" t="s">
        <v>18</v>
      </c>
      <c r="K551">
        <v>2.9</v>
      </c>
      <c r="L551">
        <v>11.8</v>
      </c>
      <c r="M551" t="s">
        <v>19</v>
      </c>
      <c r="N551" s="7">
        <v>45210</v>
      </c>
      <c r="O551" t="str" cm="1">
        <f t="array" ref="O551">_xlfn.IFS(tbl_loans_clean[[#This Row],[Credit_Score]]&lt;650,"580-649",tbl_loans_clean[[#This Row],[Credit_Score]]&lt;700,"650-699",tbl_loans_clean[[#This Row],[Credit_Score]]&lt;750,"700-749",TRUE,"750+")</f>
        <v>700-749</v>
      </c>
    </row>
    <row r="552" spans="1:15" x14ac:dyDescent="0.35">
      <c r="A552" t="s">
        <v>148</v>
      </c>
      <c r="B552" t="s">
        <v>25</v>
      </c>
      <c r="C552" t="s">
        <v>22</v>
      </c>
      <c r="D552" t="s">
        <v>17</v>
      </c>
      <c r="E552">
        <v>284003</v>
      </c>
      <c r="F552">
        <v>6.26</v>
      </c>
      <c r="G552">
        <v>36</v>
      </c>
      <c r="H552">
        <v>118477</v>
      </c>
      <c r="I552">
        <v>595</v>
      </c>
      <c r="J552" t="s">
        <v>26</v>
      </c>
      <c r="K552">
        <v>16.8</v>
      </c>
      <c r="L552">
        <v>31.2</v>
      </c>
      <c r="M552" t="s">
        <v>23</v>
      </c>
      <c r="N552" s="7">
        <v>45214</v>
      </c>
      <c r="O552" t="str" cm="1">
        <f t="array" ref="O552">_xlfn.IFS(tbl_loans_clean[[#This Row],[Credit_Score]]&lt;650,"580-649",tbl_loans_clean[[#This Row],[Credit_Score]]&lt;700,"650-699",tbl_loans_clean[[#This Row],[Credit_Score]]&lt;750,"700-749",TRUE,"750+")</f>
        <v>580-649</v>
      </c>
    </row>
    <row r="553" spans="1:15" x14ac:dyDescent="0.35">
      <c r="A553" t="s">
        <v>95</v>
      </c>
      <c r="B553" t="s">
        <v>71</v>
      </c>
      <c r="C553" t="s">
        <v>22</v>
      </c>
      <c r="D553" t="s">
        <v>73</v>
      </c>
      <c r="E553">
        <v>7352</v>
      </c>
      <c r="F553">
        <v>8.09</v>
      </c>
      <c r="G553">
        <v>300</v>
      </c>
      <c r="H553">
        <v>80975</v>
      </c>
      <c r="I553">
        <v>647</v>
      </c>
      <c r="J553" t="s">
        <v>18</v>
      </c>
      <c r="K553">
        <v>9.1999999999999993</v>
      </c>
      <c r="L553">
        <v>17.8</v>
      </c>
      <c r="M553" t="s">
        <v>19</v>
      </c>
      <c r="N553" s="7">
        <v>45215</v>
      </c>
      <c r="O553" t="str" cm="1">
        <f t="array" ref="O553">_xlfn.IFS(tbl_loans_clean[[#This Row],[Credit_Score]]&lt;650,"580-649",tbl_loans_clean[[#This Row],[Credit_Score]]&lt;700,"650-699",tbl_loans_clean[[#This Row],[Credit_Score]]&lt;750,"700-749",TRUE,"750+")</f>
        <v>580-649</v>
      </c>
    </row>
    <row r="554" spans="1:15" x14ac:dyDescent="0.35">
      <c r="A554" t="s">
        <v>629</v>
      </c>
      <c r="B554" t="s">
        <v>30</v>
      </c>
      <c r="C554" t="s">
        <v>22</v>
      </c>
      <c r="D554" t="s">
        <v>38</v>
      </c>
      <c r="E554">
        <v>697137</v>
      </c>
      <c r="F554">
        <v>8.91</v>
      </c>
      <c r="G554">
        <v>300</v>
      </c>
      <c r="H554">
        <v>137028</v>
      </c>
      <c r="I554">
        <v>606</v>
      </c>
      <c r="J554" t="s">
        <v>39</v>
      </c>
      <c r="K554">
        <v>24.2</v>
      </c>
      <c r="L554">
        <v>9</v>
      </c>
      <c r="M554" t="s">
        <v>23</v>
      </c>
      <c r="N554" s="7">
        <v>45215</v>
      </c>
      <c r="O554" t="str" cm="1">
        <f t="array" ref="O554">_xlfn.IFS(tbl_loans_clean[[#This Row],[Credit_Score]]&lt;650,"580-649",tbl_loans_clean[[#This Row],[Credit_Score]]&lt;700,"650-699",tbl_loans_clean[[#This Row],[Credit_Score]]&lt;750,"700-749",TRUE,"750+")</f>
        <v>580-649</v>
      </c>
    </row>
    <row r="555" spans="1:15" x14ac:dyDescent="0.35">
      <c r="A555" t="s">
        <v>108</v>
      </c>
      <c r="B555" t="s">
        <v>30</v>
      </c>
      <c r="C555" t="s">
        <v>34</v>
      </c>
      <c r="D555" t="s">
        <v>17</v>
      </c>
      <c r="E555">
        <v>135544</v>
      </c>
      <c r="F555">
        <v>6.34</v>
      </c>
      <c r="G555">
        <v>240</v>
      </c>
      <c r="H555">
        <v>171326</v>
      </c>
      <c r="I555">
        <v>662</v>
      </c>
      <c r="J555" t="s">
        <v>26</v>
      </c>
      <c r="K555">
        <v>15.5</v>
      </c>
      <c r="L555">
        <v>44.3</v>
      </c>
      <c r="M555" t="s">
        <v>19</v>
      </c>
      <c r="N555" s="7">
        <v>45220</v>
      </c>
      <c r="O555" t="str" cm="1">
        <f t="array" ref="O555">_xlfn.IFS(tbl_loans_clean[[#This Row],[Credit_Score]]&lt;650,"580-649",tbl_loans_clean[[#This Row],[Credit_Score]]&lt;700,"650-699",tbl_loans_clean[[#This Row],[Credit_Score]]&lt;750,"700-749",TRUE,"750+")</f>
        <v>650-699</v>
      </c>
    </row>
    <row r="556" spans="1:15" x14ac:dyDescent="0.35">
      <c r="A556" t="s">
        <v>659</v>
      </c>
      <c r="B556" t="s">
        <v>30</v>
      </c>
      <c r="C556" t="s">
        <v>22</v>
      </c>
      <c r="D556" t="s">
        <v>17</v>
      </c>
      <c r="E556">
        <v>497148</v>
      </c>
      <c r="F556">
        <v>12.92</v>
      </c>
      <c r="G556">
        <v>24</v>
      </c>
      <c r="H556">
        <v>100833</v>
      </c>
      <c r="I556">
        <v>845</v>
      </c>
      <c r="J556" t="s">
        <v>18</v>
      </c>
      <c r="K556">
        <v>23.9</v>
      </c>
      <c r="L556">
        <v>21.7</v>
      </c>
      <c r="M556" t="s">
        <v>23</v>
      </c>
      <c r="N556" s="7">
        <v>45225</v>
      </c>
      <c r="O556" t="str" cm="1">
        <f t="array" ref="O556">_xlfn.IFS(tbl_loans_clean[[#This Row],[Credit_Score]]&lt;650,"580-649",tbl_loans_clean[[#This Row],[Credit_Score]]&lt;700,"650-699",tbl_loans_clean[[#This Row],[Credit_Score]]&lt;750,"700-749",TRUE,"750+")</f>
        <v>750+</v>
      </c>
    </row>
    <row r="557" spans="1:15" x14ac:dyDescent="0.35">
      <c r="A557" t="s">
        <v>218</v>
      </c>
      <c r="B557" t="s">
        <v>15</v>
      </c>
      <c r="C557" t="s">
        <v>22</v>
      </c>
      <c r="D557" t="s">
        <v>32</v>
      </c>
      <c r="E557">
        <v>610730</v>
      </c>
      <c r="F557">
        <v>9.2799999999999994</v>
      </c>
      <c r="G557">
        <v>36</v>
      </c>
      <c r="H557">
        <v>97922</v>
      </c>
      <c r="I557">
        <v>787</v>
      </c>
      <c r="J557" t="s">
        <v>18</v>
      </c>
      <c r="K557">
        <v>14.8</v>
      </c>
      <c r="L557">
        <v>24.9</v>
      </c>
      <c r="M557" t="s">
        <v>55</v>
      </c>
      <c r="N557" s="7">
        <v>45226</v>
      </c>
      <c r="O557" t="str" cm="1">
        <f t="array" ref="O557">_xlfn.IFS(tbl_loans_clean[[#This Row],[Credit_Score]]&lt;650,"580-649",tbl_loans_clean[[#This Row],[Credit_Score]]&lt;700,"650-699",tbl_loans_clean[[#This Row],[Credit_Score]]&lt;750,"700-749",TRUE,"750+")</f>
        <v>750+</v>
      </c>
    </row>
    <row r="558" spans="1:15" x14ac:dyDescent="0.35">
      <c r="A558" t="s">
        <v>516</v>
      </c>
      <c r="B558" t="s">
        <v>15</v>
      </c>
      <c r="C558" t="s">
        <v>22</v>
      </c>
      <c r="D558" t="s">
        <v>43</v>
      </c>
      <c r="E558">
        <v>423184</v>
      </c>
      <c r="F558">
        <v>7.06</v>
      </c>
      <c r="G558">
        <v>48</v>
      </c>
      <c r="H558">
        <v>176137</v>
      </c>
      <c r="I558">
        <v>833</v>
      </c>
      <c r="J558" t="s">
        <v>26</v>
      </c>
      <c r="K558">
        <v>8.4</v>
      </c>
      <c r="L558">
        <v>31.4</v>
      </c>
      <c r="M558" t="s">
        <v>23</v>
      </c>
      <c r="N558" s="7">
        <v>45232</v>
      </c>
      <c r="O558" t="str" cm="1">
        <f t="array" ref="O558">_xlfn.IFS(tbl_loans_clean[[#This Row],[Credit_Score]]&lt;650,"580-649",tbl_loans_clean[[#This Row],[Credit_Score]]&lt;700,"650-699",tbl_loans_clean[[#This Row],[Credit_Score]]&lt;750,"700-749",TRUE,"750+")</f>
        <v>750+</v>
      </c>
    </row>
    <row r="559" spans="1:15" x14ac:dyDescent="0.35">
      <c r="A559" t="s">
        <v>163</v>
      </c>
      <c r="B559" t="s">
        <v>30</v>
      </c>
      <c r="C559" t="s">
        <v>34</v>
      </c>
      <c r="D559" t="s">
        <v>17</v>
      </c>
      <c r="E559">
        <v>470918</v>
      </c>
      <c r="F559">
        <v>9.7899999999999991</v>
      </c>
      <c r="G559">
        <v>120</v>
      </c>
      <c r="H559">
        <v>76291</v>
      </c>
      <c r="I559">
        <v>676</v>
      </c>
      <c r="J559" t="s">
        <v>26</v>
      </c>
      <c r="K559">
        <v>5.2</v>
      </c>
      <c r="L559">
        <v>11.9</v>
      </c>
      <c r="M559" t="s">
        <v>23</v>
      </c>
      <c r="N559" s="7">
        <v>45233</v>
      </c>
      <c r="O559" t="str" cm="1">
        <f t="array" ref="O559">_xlfn.IFS(tbl_loans_clean[[#This Row],[Credit_Score]]&lt;650,"580-649",tbl_loans_clean[[#This Row],[Credit_Score]]&lt;700,"650-699",tbl_loans_clean[[#This Row],[Credit_Score]]&lt;750,"700-749",TRUE,"750+")</f>
        <v>650-699</v>
      </c>
    </row>
    <row r="560" spans="1:15" x14ac:dyDescent="0.35">
      <c r="A560" t="s">
        <v>332</v>
      </c>
      <c r="B560" t="s">
        <v>30</v>
      </c>
      <c r="C560" t="s">
        <v>34</v>
      </c>
      <c r="D560" t="s">
        <v>17</v>
      </c>
      <c r="E560">
        <v>477779</v>
      </c>
      <c r="F560">
        <v>11.02</v>
      </c>
      <c r="G560">
        <v>36</v>
      </c>
      <c r="H560">
        <v>154202</v>
      </c>
      <c r="I560">
        <v>813</v>
      </c>
      <c r="J560" t="s">
        <v>26</v>
      </c>
      <c r="K560">
        <v>24.2</v>
      </c>
      <c r="L560">
        <v>35.799999999999997</v>
      </c>
      <c r="M560" t="s">
        <v>19</v>
      </c>
      <c r="N560" s="7">
        <v>45233</v>
      </c>
      <c r="O560" t="str" cm="1">
        <f t="array" ref="O560">_xlfn.IFS(tbl_loans_clean[[#This Row],[Credit_Score]]&lt;650,"580-649",tbl_loans_clean[[#This Row],[Credit_Score]]&lt;700,"650-699",tbl_loans_clean[[#This Row],[Credit_Score]]&lt;750,"700-749",TRUE,"750+")</f>
        <v>750+</v>
      </c>
    </row>
    <row r="561" spans="1:15" x14ac:dyDescent="0.35">
      <c r="A561" t="s">
        <v>541</v>
      </c>
      <c r="B561" t="s">
        <v>110</v>
      </c>
      <c r="C561" t="s">
        <v>16</v>
      </c>
      <c r="D561" t="s">
        <v>32</v>
      </c>
      <c r="E561">
        <v>274150</v>
      </c>
      <c r="F561">
        <v>11.17</v>
      </c>
      <c r="G561">
        <v>48</v>
      </c>
      <c r="H561">
        <v>115980</v>
      </c>
      <c r="I561">
        <v>798</v>
      </c>
      <c r="J561" t="s">
        <v>18</v>
      </c>
      <c r="K561">
        <v>13.9</v>
      </c>
      <c r="L561">
        <v>24.4</v>
      </c>
      <c r="M561" t="s">
        <v>23</v>
      </c>
      <c r="N561" s="7">
        <v>45237</v>
      </c>
      <c r="O561" t="str" cm="1">
        <f t="array" ref="O561">_xlfn.IFS(tbl_loans_clean[[#This Row],[Credit_Score]]&lt;650,"580-649",tbl_loans_clean[[#This Row],[Credit_Score]]&lt;700,"650-699",tbl_loans_clean[[#This Row],[Credit_Score]]&lt;750,"700-749",TRUE,"750+")</f>
        <v>750+</v>
      </c>
    </row>
    <row r="562" spans="1:15" x14ac:dyDescent="0.35">
      <c r="A562" t="s">
        <v>719</v>
      </c>
      <c r="B562" t="s">
        <v>15</v>
      </c>
      <c r="C562" t="s">
        <v>16</v>
      </c>
      <c r="D562" t="s">
        <v>32</v>
      </c>
      <c r="E562">
        <v>230391</v>
      </c>
      <c r="F562">
        <v>8.4700000000000006</v>
      </c>
      <c r="G562">
        <v>24</v>
      </c>
      <c r="H562">
        <v>100573</v>
      </c>
      <c r="I562">
        <v>688</v>
      </c>
      <c r="J562" t="s">
        <v>18</v>
      </c>
      <c r="K562">
        <v>16</v>
      </c>
      <c r="L562">
        <v>29.7</v>
      </c>
      <c r="M562" t="s">
        <v>19</v>
      </c>
      <c r="N562" s="7">
        <v>45237</v>
      </c>
      <c r="O562" t="str" cm="1">
        <f t="array" ref="O562">_xlfn.IFS(tbl_loans_clean[[#This Row],[Credit_Score]]&lt;650,"580-649",tbl_loans_clean[[#This Row],[Credit_Score]]&lt;700,"650-699",tbl_loans_clean[[#This Row],[Credit_Score]]&lt;750,"700-749",TRUE,"750+")</f>
        <v>650-699</v>
      </c>
    </row>
    <row r="563" spans="1:15" x14ac:dyDescent="0.35">
      <c r="A563" t="s">
        <v>234</v>
      </c>
      <c r="B563" t="s">
        <v>28</v>
      </c>
      <c r="C563" t="s">
        <v>16</v>
      </c>
      <c r="D563" t="s">
        <v>45</v>
      </c>
      <c r="E563">
        <v>222228</v>
      </c>
      <c r="F563">
        <v>6.5</v>
      </c>
      <c r="G563">
        <v>240</v>
      </c>
      <c r="H563">
        <v>211846</v>
      </c>
      <c r="I563">
        <v>653</v>
      </c>
      <c r="J563" t="s">
        <v>18</v>
      </c>
      <c r="K563">
        <v>13.5</v>
      </c>
      <c r="L563">
        <v>9.9</v>
      </c>
      <c r="M563" t="s">
        <v>23</v>
      </c>
      <c r="N563" s="7">
        <v>45239</v>
      </c>
      <c r="O563" t="str" cm="1">
        <f t="array" ref="O563">_xlfn.IFS(tbl_loans_clean[[#This Row],[Credit_Score]]&lt;650,"580-649",tbl_loans_clean[[#This Row],[Credit_Score]]&lt;700,"650-699",tbl_loans_clean[[#This Row],[Credit_Score]]&lt;750,"700-749",TRUE,"750+")</f>
        <v>650-699</v>
      </c>
    </row>
    <row r="564" spans="1:15" x14ac:dyDescent="0.35">
      <c r="A564" t="s">
        <v>265</v>
      </c>
      <c r="B564" t="s">
        <v>30</v>
      </c>
      <c r="C564" t="s">
        <v>34</v>
      </c>
      <c r="D564" t="s">
        <v>45</v>
      </c>
      <c r="E564">
        <v>210157</v>
      </c>
      <c r="F564">
        <v>6.68</v>
      </c>
      <c r="G564">
        <v>240</v>
      </c>
      <c r="H564">
        <v>104382</v>
      </c>
      <c r="I564">
        <v>802</v>
      </c>
      <c r="J564" t="s">
        <v>18</v>
      </c>
      <c r="K564">
        <v>12.9</v>
      </c>
      <c r="L564">
        <v>20.100000000000001</v>
      </c>
      <c r="M564" t="s">
        <v>19</v>
      </c>
      <c r="N564" s="7">
        <v>45240</v>
      </c>
      <c r="O564" t="str" cm="1">
        <f t="array" ref="O564">_xlfn.IFS(tbl_loans_clean[[#This Row],[Credit_Score]]&lt;650,"580-649",tbl_loans_clean[[#This Row],[Credit_Score]]&lt;700,"650-699",tbl_loans_clean[[#This Row],[Credit_Score]]&lt;750,"700-749",TRUE,"750+")</f>
        <v>750+</v>
      </c>
    </row>
    <row r="565" spans="1:15" x14ac:dyDescent="0.35">
      <c r="A565" t="s">
        <v>788</v>
      </c>
      <c r="B565" t="s">
        <v>15</v>
      </c>
      <c r="C565" t="s">
        <v>34</v>
      </c>
      <c r="D565" t="s">
        <v>45</v>
      </c>
      <c r="E565">
        <v>141213</v>
      </c>
      <c r="F565">
        <v>11.18</v>
      </c>
      <c r="G565">
        <v>120</v>
      </c>
      <c r="H565">
        <v>202326</v>
      </c>
      <c r="I565">
        <v>661</v>
      </c>
      <c r="J565" t="s">
        <v>18</v>
      </c>
      <c r="K565">
        <v>8.6</v>
      </c>
      <c r="L565">
        <v>17.3</v>
      </c>
      <c r="M565" t="s">
        <v>19</v>
      </c>
      <c r="N565" s="7">
        <v>45240</v>
      </c>
      <c r="O565" t="str" cm="1">
        <f t="array" ref="O565">_xlfn.IFS(tbl_loans_clean[[#This Row],[Credit_Score]]&lt;650,"580-649",tbl_loans_clean[[#This Row],[Credit_Score]]&lt;700,"650-699",tbl_loans_clean[[#This Row],[Credit_Score]]&lt;750,"700-749",TRUE,"750+")</f>
        <v>650-699</v>
      </c>
    </row>
    <row r="566" spans="1:15" x14ac:dyDescent="0.35">
      <c r="A566" t="s">
        <v>457</v>
      </c>
      <c r="B566" t="s">
        <v>15</v>
      </c>
      <c r="C566" t="s">
        <v>22</v>
      </c>
      <c r="D566" t="s">
        <v>32</v>
      </c>
      <c r="E566">
        <v>262803</v>
      </c>
      <c r="F566">
        <v>8.09</v>
      </c>
      <c r="G566">
        <v>240</v>
      </c>
      <c r="H566">
        <v>179990</v>
      </c>
      <c r="I566">
        <v>805</v>
      </c>
      <c r="J566" t="s">
        <v>18</v>
      </c>
      <c r="K566">
        <v>18.600000000000001</v>
      </c>
      <c r="L566">
        <v>34</v>
      </c>
      <c r="M566" t="s">
        <v>23</v>
      </c>
      <c r="N566" s="7">
        <v>45242</v>
      </c>
      <c r="O566" t="str" cm="1">
        <f t="array" ref="O566">_xlfn.IFS(tbl_loans_clean[[#This Row],[Credit_Score]]&lt;650,"580-649",tbl_loans_clean[[#This Row],[Credit_Score]]&lt;700,"650-699",tbl_loans_clean[[#This Row],[Credit_Score]]&lt;750,"700-749",TRUE,"750+")</f>
        <v>750+</v>
      </c>
    </row>
    <row r="567" spans="1:15" x14ac:dyDescent="0.35">
      <c r="A567" t="s">
        <v>782</v>
      </c>
      <c r="B567" t="s">
        <v>15</v>
      </c>
      <c r="C567" t="s">
        <v>16</v>
      </c>
      <c r="D567" t="s">
        <v>38</v>
      </c>
      <c r="E567">
        <v>222583</v>
      </c>
      <c r="F567">
        <v>11.55</v>
      </c>
      <c r="G567">
        <v>120</v>
      </c>
      <c r="H567">
        <v>147501</v>
      </c>
      <c r="I567">
        <v>617</v>
      </c>
      <c r="J567" t="s">
        <v>26</v>
      </c>
      <c r="K567">
        <v>6</v>
      </c>
      <c r="L567">
        <v>25.2</v>
      </c>
      <c r="M567" t="s">
        <v>23</v>
      </c>
      <c r="N567" s="7">
        <v>45244</v>
      </c>
      <c r="O567" t="str" cm="1">
        <f t="array" ref="O567">_xlfn.IFS(tbl_loans_clean[[#This Row],[Credit_Score]]&lt;650,"580-649",tbl_loans_clean[[#This Row],[Credit_Score]]&lt;700,"650-699",tbl_loans_clean[[#This Row],[Credit_Score]]&lt;750,"700-749",TRUE,"750+")</f>
        <v>580-649</v>
      </c>
    </row>
    <row r="568" spans="1:15" x14ac:dyDescent="0.35">
      <c r="A568" t="s">
        <v>597</v>
      </c>
      <c r="B568" t="s">
        <v>15</v>
      </c>
      <c r="C568" t="s">
        <v>34</v>
      </c>
      <c r="D568" t="s">
        <v>17</v>
      </c>
      <c r="E568">
        <v>390893</v>
      </c>
      <c r="F568">
        <v>8.5</v>
      </c>
      <c r="G568">
        <v>36</v>
      </c>
      <c r="H568">
        <v>58734</v>
      </c>
      <c r="I568">
        <v>607</v>
      </c>
      <c r="J568" t="s">
        <v>18</v>
      </c>
      <c r="K568">
        <v>10.7</v>
      </c>
      <c r="L568">
        <v>33</v>
      </c>
      <c r="M568" t="s">
        <v>23</v>
      </c>
      <c r="N568" s="7">
        <v>45246</v>
      </c>
      <c r="O568" t="str" cm="1">
        <f t="array" ref="O568">_xlfn.IFS(tbl_loans_clean[[#This Row],[Credit_Score]]&lt;650,"580-649",tbl_loans_clean[[#This Row],[Credit_Score]]&lt;700,"650-699",tbl_loans_clean[[#This Row],[Credit_Score]]&lt;750,"700-749",TRUE,"750+")</f>
        <v>580-649</v>
      </c>
    </row>
    <row r="569" spans="1:15" x14ac:dyDescent="0.35">
      <c r="A569" t="s">
        <v>600</v>
      </c>
      <c r="B569" t="s">
        <v>25</v>
      </c>
      <c r="C569" t="s">
        <v>22</v>
      </c>
      <c r="D569" t="s">
        <v>32</v>
      </c>
      <c r="E569">
        <v>133389</v>
      </c>
      <c r="F569">
        <v>5.09</v>
      </c>
      <c r="G569">
        <v>24</v>
      </c>
      <c r="H569">
        <v>94727</v>
      </c>
      <c r="I569">
        <v>695</v>
      </c>
      <c r="J569" t="s">
        <v>26</v>
      </c>
      <c r="K569">
        <v>19.3</v>
      </c>
      <c r="L569">
        <v>20.5</v>
      </c>
      <c r="M569" t="s">
        <v>23</v>
      </c>
      <c r="N569" s="7">
        <v>45246</v>
      </c>
      <c r="O569" t="str" cm="1">
        <f t="array" ref="O569">_xlfn.IFS(tbl_loans_clean[[#This Row],[Credit_Score]]&lt;650,"580-649",tbl_loans_clean[[#This Row],[Credit_Score]]&lt;700,"650-699",tbl_loans_clean[[#This Row],[Credit_Score]]&lt;750,"700-749",TRUE,"750+")</f>
        <v>650-699</v>
      </c>
    </row>
    <row r="570" spans="1:15" x14ac:dyDescent="0.35">
      <c r="A570" t="s">
        <v>733</v>
      </c>
      <c r="B570" t="s">
        <v>15</v>
      </c>
      <c r="C570" t="s">
        <v>22</v>
      </c>
      <c r="D570" t="s">
        <v>17</v>
      </c>
      <c r="E570">
        <v>381087</v>
      </c>
      <c r="F570">
        <v>8.9700000000000006</v>
      </c>
      <c r="G570">
        <v>60</v>
      </c>
      <c r="H570">
        <v>181778</v>
      </c>
      <c r="I570">
        <v>679</v>
      </c>
      <c r="J570" t="s">
        <v>39</v>
      </c>
      <c r="K570">
        <v>1.2</v>
      </c>
      <c r="L570">
        <v>20</v>
      </c>
      <c r="M570" t="s">
        <v>19</v>
      </c>
      <c r="N570" s="7">
        <v>45247</v>
      </c>
      <c r="O570" t="str" cm="1">
        <f t="array" ref="O570">_xlfn.IFS(tbl_loans_clean[[#This Row],[Credit_Score]]&lt;650,"580-649",tbl_loans_clean[[#This Row],[Credit_Score]]&lt;700,"650-699",tbl_loans_clean[[#This Row],[Credit_Score]]&lt;750,"700-749",TRUE,"750+")</f>
        <v>650-699</v>
      </c>
    </row>
    <row r="571" spans="1:15" x14ac:dyDescent="0.35">
      <c r="A571" t="s">
        <v>352</v>
      </c>
      <c r="B571" t="s">
        <v>15</v>
      </c>
      <c r="C571" t="s">
        <v>34</v>
      </c>
      <c r="D571" t="s">
        <v>17</v>
      </c>
      <c r="E571">
        <v>501043</v>
      </c>
      <c r="F571">
        <v>12.73</v>
      </c>
      <c r="G571">
        <v>48</v>
      </c>
      <c r="H571">
        <v>179542</v>
      </c>
      <c r="I571">
        <v>759</v>
      </c>
      <c r="J571" t="s">
        <v>39</v>
      </c>
      <c r="K571">
        <v>4.5999999999999996</v>
      </c>
      <c r="L571">
        <v>29.6</v>
      </c>
      <c r="M571" t="s">
        <v>23</v>
      </c>
      <c r="N571" s="7">
        <v>45248</v>
      </c>
      <c r="O571" t="str" cm="1">
        <f t="array" ref="O571">_xlfn.IFS(tbl_loans_clean[[#This Row],[Credit_Score]]&lt;650,"580-649",tbl_loans_clean[[#This Row],[Credit_Score]]&lt;700,"650-699",tbl_loans_clean[[#This Row],[Credit_Score]]&lt;750,"700-749",TRUE,"750+")</f>
        <v>750+</v>
      </c>
    </row>
    <row r="572" spans="1:15" x14ac:dyDescent="0.35">
      <c r="A572" t="s">
        <v>328</v>
      </c>
      <c r="B572" t="s">
        <v>15</v>
      </c>
      <c r="C572" t="s">
        <v>16</v>
      </c>
      <c r="D572" t="s">
        <v>17</v>
      </c>
      <c r="E572">
        <v>705769</v>
      </c>
      <c r="F572">
        <v>10.039999999999999</v>
      </c>
      <c r="G572">
        <v>300</v>
      </c>
      <c r="H572">
        <v>194964</v>
      </c>
      <c r="I572">
        <v>677</v>
      </c>
      <c r="J572" t="s">
        <v>18</v>
      </c>
      <c r="K572">
        <v>11.5</v>
      </c>
      <c r="L572">
        <v>34.200000000000003</v>
      </c>
      <c r="M572" t="s">
        <v>19</v>
      </c>
      <c r="N572" s="7">
        <v>45252</v>
      </c>
      <c r="O572" t="str" cm="1">
        <f t="array" ref="O572">_xlfn.IFS(tbl_loans_clean[[#This Row],[Credit_Score]]&lt;650,"580-649",tbl_loans_clean[[#This Row],[Credit_Score]]&lt;700,"650-699",tbl_loans_clean[[#This Row],[Credit_Score]]&lt;750,"700-749",TRUE,"750+")</f>
        <v>650-699</v>
      </c>
    </row>
    <row r="573" spans="1:15" x14ac:dyDescent="0.35">
      <c r="A573" t="s">
        <v>269</v>
      </c>
      <c r="B573" t="s">
        <v>83</v>
      </c>
      <c r="C573" t="s">
        <v>22</v>
      </c>
      <c r="D573" t="s">
        <v>38</v>
      </c>
      <c r="E573">
        <v>589054</v>
      </c>
      <c r="F573">
        <v>7.21</v>
      </c>
      <c r="G573">
        <v>300</v>
      </c>
      <c r="H573">
        <v>95616</v>
      </c>
      <c r="I573">
        <v>687</v>
      </c>
      <c r="J573" t="s">
        <v>18</v>
      </c>
      <c r="K573">
        <v>14.8</v>
      </c>
      <c r="L573">
        <v>30.8</v>
      </c>
      <c r="M573" t="s">
        <v>23</v>
      </c>
      <c r="N573" s="7">
        <v>45254</v>
      </c>
      <c r="O573" t="str" cm="1">
        <f t="array" ref="O573">_xlfn.IFS(tbl_loans_clean[[#This Row],[Credit_Score]]&lt;650,"580-649",tbl_loans_clean[[#This Row],[Credit_Score]]&lt;700,"650-699",tbl_loans_clean[[#This Row],[Credit_Score]]&lt;750,"700-749",TRUE,"750+")</f>
        <v>650-699</v>
      </c>
    </row>
    <row r="574" spans="1:15" x14ac:dyDescent="0.35">
      <c r="A574" t="s">
        <v>803</v>
      </c>
      <c r="B574" t="s">
        <v>30</v>
      </c>
      <c r="C574" t="s">
        <v>22</v>
      </c>
      <c r="D574" t="s">
        <v>32</v>
      </c>
      <c r="E574">
        <v>210776</v>
      </c>
      <c r="F574">
        <v>4.24</v>
      </c>
      <c r="G574">
        <v>36</v>
      </c>
      <c r="H574">
        <v>184536</v>
      </c>
      <c r="I574">
        <v>580</v>
      </c>
      <c r="J574" t="s">
        <v>18</v>
      </c>
      <c r="K574">
        <v>4.8</v>
      </c>
      <c r="L574">
        <v>25.3</v>
      </c>
      <c r="M574" t="s">
        <v>23</v>
      </c>
      <c r="N574" s="7">
        <v>45254</v>
      </c>
      <c r="O574" t="str" cm="1">
        <f t="array" ref="O574">_xlfn.IFS(tbl_loans_clean[[#This Row],[Credit_Score]]&lt;650,"580-649",tbl_loans_clean[[#This Row],[Credit_Score]]&lt;700,"650-699",tbl_loans_clean[[#This Row],[Credit_Score]]&lt;750,"700-749",TRUE,"750+")</f>
        <v>580-649</v>
      </c>
    </row>
    <row r="575" spans="1:15" x14ac:dyDescent="0.35">
      <c r="A575" t="s">
        <v>41</v>
      </c>
      <c r="B575" t="s">
        <v>28</v>
      </c>
      <c r="C575" t="s">
        <v>22</v>
      </c>
      <c r="D575" t="s">
        <v>32</v>
      </c>
      <c r="E575">
        <v>620863</v>
      </c>
      <c r="F575">
        <v>3.48</v>
      </c>
      <c r="G575">
        <v>120</v>
      </c>
      <c r="H575">
        <v>78519</v>
      </c>
      <c r="I575">
        <v>844</v>
      </c>
      <c r="J575" t="s">
        <v>18</v>
      </c>
      <c r="K575">
        <v>21.3</v>
      </c>
      <c r="L575">
        <v>28.8</v>
      </c>
      <c r="M575" t="s">
        <v>23</v>
      </c>
      <c r="N575" s="7">
        <v>45255</v>
      </c>
      <c r="O575" t="str" cm="1">
        <f t="array" ref="O575">_xlfn.IFS(tbl_loans_clean[[#This Row],[Credit_Score]]&lt;650,"580-649",tbl_loans_clean[[#This Row],[Credit_Score]]&lt;700,"650-699",tbl_loans_clean[[#This Row],[Credit_Score]]&lt;750,"700-749",TRUE,"750+")</f>
        <v>750+</v>
      </c>
    </row>
    <row r="576" spans="1:15" x14ac:dyDescent="0.35">
      <c r="A576" t="s">
        <v>330</v>
      </c>
      <c r="B576" t="s">
        <v>30</v>
      </c>
      <c r="C576" t="s">
        <v>34</v>
      </c>
      <c r="D576" t="s">
        <v>38</v>
      </c>
      <c r="E576">
        <v>575442</v>
      </c>
      <c r="F576">
        <v>7.01</v>
      </c>
      <c r="G576">
        <v>36</v>
      </c>
      <c r="H576">
        <v>105242</v>
      </c>
      <c r="I576">
        <v>728</v>
      </c>
      <c r="J576" t="s">
        <v>39</v>
      </c>
      <c r="K576">
        <v>4.7</v>
      </c>
      <c r="L576">
        <v>45.8</v>
      </c>
      <c r="M576" t="s">
        <v>23</v>
      </c>
      <c r="N576" s="7">
        <v>45257</v>
      </c>
      <c r="O576" t="str" cm="1">
        <f t="array" ref="O576">_xlfn.IFS(tbl_loans_clean[[#This Row],[Credit_Score]]&lt;650,"580-649",tbl_loans_clean[[#This Row],[Credit_Score]]&lt;700,"650-699",tbl_loans_clean[[#This Row],[Credit_Score]]&lt;750,"700-749",TRUE,"750+")</f>
        <v>700-749</v>
      </c>
    </row>
    <row r="577" spans="1:15" x14ac:dyDescent="0.35">
      <c r="A577" t="s">
        <v>459</v>
      </c>
      <c r="B577" t="s">
        <v>30</v>
      </c>
      <c r="C577" t="s">
        <v>16</v>
      </c>
      <c r="D577" t="s">
        <v>73</v>
      </c>
      <c r="E577">
        <v>321275</v>
      </c>
      <c r="F577">
        <v>6.13</v>
      </c>
      <c r="G577">
        <v>300</v>
      </c>
      <c r="H577">
        <v>148667</v>
      </c>
      <c r="I577">
        <v>759</v>
      </c>
      <c r="J577" t="s">
        <v>18</v>
      </c>
      <c r="K577">
        <v>3.3</v>
      </c>
      <c r="L577">
        <v>21.4</v>
      </c>
      <c r="M577" t="s">
        <v>19</v>
      </c>
      <c r="N577" s="7">
        <v>45260</v>
      </c>
      <c r="O577" t="str" cm="1">
        <f t="array" ref="O577">_xlfn.IFS(tbl_loans_clean[[#This Row],[Credit_Score]]&lt;650,"580-649",tbl_loans_clean[[#This Row],[Credit_Score]]&lt;700,"650-699",tbl_loans_clean[[#This Row],[Credit_Score]]&lt;750,"700-749",TRUE,"750+")</f>
        <v>750+</v>
      </c>
    </row>
    <row r="578" spans="1:15" x14ac:dyDescent="0.35">
      <c r="A578" t="s">
        <v>771</v>
      </c>
      <c r="B578" t="s">
        <v>30</v>
      </c>
      <c r="C578" t="s">
        <v>16</v>
      </c>
      <c r="D578" t="s">
        <v>17</v>
      </c>
      <c r="E578">
        <v>162636</v>
      </c>
      <c r="F578">
        <v>3.54</v>
      </c>
      <c r="G578">
        <v>300</v>
      </c>
      <c r="H578">
        <v>78492</v>
      </c>
      <c r="I578">
        <v>675</v>
      </c>
      <c r="J578" t="s">
        <v>18</v>
      </c>
      <c r="K578">
        <v>13.4</v>
      </c>
      <c r="L578">
        <v>9.1999999999999993</v>
      </c>
      <c r="M578" t="s">
        <v>19</v>
      </c>
      <c r="N578" s="7">
        <v>45260</v>
      </c>
      <c r="O578" t="str" cm="1">
        <f t="array" ref="O578">_xlfn.IFS(tbl_loans_clean[[#This Row],[Credit_Score]]&lt;650,"580-649",tbl_loans_clean[[#This Row],[Credit_Score]]&lt;700,"650-699",tbl_loans_clean[[#This Row],[Credit_Score]]&lt;750,"700-749",TRUE,"750+")</f>
        <v>650-699</v>
      </c>
    </row>
    <row r="579" spans="1:15" x14ac:dyDescent="0.35">
      <c r="A579" t="s">
        <v>566</v>
      </c>
      <c r="B579" t="s">
        <v>25</v>
      </c>
      <c r="C579" t="s">
        <v>34</v>
      </c>
      <c r="D579" t="s">
        <v>52</v>
      </c>
      <c r="E579">
        <v>419841</v>
      </c>
      <c r="F579">
        <v>4.16</v>
      </c>
      <c r="G579">
        <v>120</v>
      </c>
      <c r="H579">
        <v>84344</v>
      </c>
      <c r="I579">
        <v>760</v>
      </c>
      <c r="J579" t="s">
        <v>18</v>
      </c>
      <c r="K579">
        <v>18.399999999999999</v>
      </c>
      <c r="L579">
        <v>31.2</v>
      </c>
      <c r="M579" t="s">
        <v>23</v>
      </c>
      <c r="N579" s="7">
        <v>45262</v>
      </c>
      <c r="O579" t="str" cm="1">
        <f t="array" ref="O579">_xlfn.IFS(tbl_loans_clean[[#This Row],[Credit_Score]]&lt;650,"580-649",tbl_loans_clean[[#This Row],[Credit_Score]]&lt;700,"650-699",tbl_loans_clean[[#This Row],[Credit_Score]]&lt;750,"700-749",TRUE,"750+")</f>
        <v>750+</v>
      </c>
    </row>
    <row r="580" spans="1:15" x14ac:dyDescent="0.35">
      <c r="A580" t="s">
        <v>775</v>
      </c>
      <c r="B580" t="s">
        <v>15</v>
      </c>
      <c r="C580" t="s">
        <v>22</v>
      </c>
      <c r="D580" t="s">
        <v>45</v>
      </c>
      <c r="E580">
        <v>197029</v>
      </c>
      <c r="F580">
        <v>6.2</v>
      </c>
      <c r="G580">
        <v>60</v>
      </c>
      <c r="H580">
        <v>211163</v>
      </c>
      <c r="I580">
        <v>799</v>
      </c>
      <c r="J580" t="s">
        <v>26</v>
      </c>
      <c r="K580">
        <v>7.6</v>
      </c>
      <c r="L580">
        <v>27.6</v>
      </c>
      <c r="M580" t="s">
        <v>23</v>
      </c>
      <c r="N580" s="7">
        <v>45262</v>
      </c>
      <c r="O580" t="str" cm="1">
        <f t="array" ref="O580">_xlfn.IFS(tbl_loans_clean[[#This Row],[Credit_Score]]&lt;650,"580-649",tbl_loans_clean[[#This Row],[Credit_Score]]&lt;700,"650-699",tbl_loans_clean[[#This Row],[Credit_Score]]&lt;750,"700-749",TRUE,"750+")</f>
        <v>750+</v>
      </c>
    </row>
    <row r="581" spans="1:15" x14ac:dyDescent="0.35">
      <c r="A581" t="s">
        <v>14</v>
      </c>
      <c r="B581" t="s">
        <v>15</v>
      </c>
      <c r="C581" t="s">
        <v>16</v>
      </c>
      <c r="D581" t="s">
        <v>17</v>
      </c>
      <c r="E581">
        <v>125234</v>
      </c>
      <c r="F581">
        <v>11.42</v>
      </c>
      <c r="G581">
        <v>48</v>
      </c>
      <c r="H581">
        <v>43960</v>
      </c>
      <c r="I581">
        <v>660</v>
      </c>
      <c r="J581" t="s">
        <v>18</v>
      </c>
      <c r="K581">
        <v>8.4</v>
      </c>
      <c r="L581">
        <v>45.2</v>
      </c>
      <c r="M581" t="s">
        <v>19</v>
      </c>
      <c r="N581" s="7">
        <v>45264</v>
      </c>
      <c r="O581" t="str" cm="1">
        <f t="array" ref="O581">_xlfn.IFS(tbl_loans_clean[[#This Row],[Credit_Score]]&lt;650,"580-649",tbl_loans_clean[[#This Row],[Credit_Score]]&lt;700,"650-699",tbl_loans_clean[[#This Row],[Credit_Score]]&lt;750,"700-749",TRUE,"750+")</f>
        <v>650-699</v>
      </c>
    </row>
    <row r="582" spans="1:15" x14ac:dyDescent="0.35">
      <c r="A582" t="s">
        <v>346</v>
      </c>
      <c r="B582" t="s">
        <v>28</v>
      </c>
      <c r="C582" t="s">
        <v>34</v>
      </c>
      <c r="D582" t="s">
        <v>38</v>
      </c>
      <c r="E582">
        <v>239104</v>
      </c>
      <c r="F582">
        <v>6.06</v>
      </c>
      <c r="G582">
        <v>120</v>
      </c>
      <c r="H582">
        <v>145358</v>
      </c>
      <c r="I582">
        <v>623</v>
      </c>
      <c r="J582" t="s">
        <v>26</v>
      </c>
      <c r="K582">
        <v>9.1999999999999993</v>
      </c>
      <c r="L582">
        <v>47.4</v>
      </c>
      <c r="M582" t="s">
        <v>19</v>
      </c>
      <c r="N582" s="7">
        <v>45266</v>
      </c>
      <c r="O582" t="str" cm="1">
        <f t="array" ref="O582">_xlfn.IFS(tbl_loans_clean[[#This Row],[Credit_Score]]&lt;650,"580-649",tbl_loans_clean[[#This Row],[Credit_Score]]&lt;700,"650-699",tbl_loans_clean[[#This Row],[Credit_Score]]&lt;750,"700-749",TRUE,"750+")</f>
        <v>580-649</v>
      </c>
    </row>
    <row r="583" spans="1:15" x14ac:dyDescent="0.35">
      <c r="A583" t="s">
        <v>615</v>
      </c>
      <c r="B583" t="s">
        <v>28</v>
      </c>
      <c r="C583" t="s">
        <v>22</v>
      </c>
      <c r="D583" t="s">
        <v>43</v>
      </c>
      <c r="E583">
        <v>461285</v>
      </c>
      <c r="F583">
        <v>3.91</v>
      </c>
      <c r="G583">
        <v>36</v>
      </c>
      <c r="H583">
        <v>195516</v>
      </c>
      <c r="I583">
        <v>778</v>
      </c>
      <c r="J583" t="s">
        <v>18</v>
      </c>
      <c r="K583">
        <v>20.3</v>
      </c>
      <c r="L583">
        <v>34</v>
      </c>
      <c r="M583" t="s">
        <v>23</v>
      </c>
      <c r="N583" s="7">
        <v>45266</v>
      </c>
      <c r="O583" t="str" cm="1">
        <f t="array" ref="O583">_xlfn.IFS(tbl_loans_clean[[#This Row],[Credit_Score]]&lt;650,"580-649",tbl_loans_clean[[#This Row],[Credit_Score]]&lt;700,"650-699",tbl_loans_clean[[#This Row],[Credit_Score]]&lt;750,"700-749",TRUE,"750+")</f>
        <v>750+</v>
      </c>
    </row>
    <row r="584" spans="1:15" x14ac:dyDescent="0.35">
      <c r="A584" t="s">
        <v>210</v>
      </c>
      <c r="B584" t="s">
        <v>28</v>
      </c>
      <c r="C584" t="s">
        <v>22</v>
      </c>
      <c r="D584" t="s">
        <v>32</v>
      </c>
      <c r="E584">
        <v>141917</v>
      </c>
      <c r="F584">
        <v>10.17</v>
      </c>
      <c r="G584">
        <v>48</v>
      </c>
      <c r="H584">
        <v>155402</v>
      </c>
      <c r="I584">
        <v>788</v>
      </c>
      <c r="J584" t="s">
        <v>39</v>
      </c>
      <c r="K584">
        <v>11.6</v>
      </c>
      <c r="L584">
        <v>17.8</v>
      </c>
      <c r="M584" t="s">
        <v>55</v>
      </c>
      <c r="N584" s="7">
        <v>45267</v>
      </c>
      <c r="O584" t="str" cm="1">
        <f t="array" ref="O584">_xlfn.IFS(tbl_loans_clean[[#This Row],[Credit_Score]]&lt;650,"580-649",tbl_loans_clean[[#This Row],[Credit_Score]]&lt;700,"650-699",tbl_loans_clean[[#This Row],[Credit_Score]]&lt;750,"700-749",TRUE,"750+")</f>
        <v>750+</v>
      </c>
    </row>
    <row r="585" spans="1:15" x14ac:dyDescent="0.35">
      <c r="A585" t="s">
        <v>618</v>
      </c>
      <c r="B585" t="s">
        <v>30</v>
      </c>
      <c r="C585" t="s">
        <v>22</v>
      </c>
      <c r="D585" t="s">
        <v>17</v>
      </c>
      <c r="E585">
        <v>443458</v>
      </c>
      <c r="F585">
        <v>4.8600000000000003</v>
      </c>
      <c r="G585">
        <v>48</v>
      </c>
      <c r="H585">
        <v>33033</v>
      </c>
      <c r="I585">
        <v>811</v>
      </c>
      <c r="J585" t="s">
        <v>26</v>
      </c>
      <c r="K585">
        <v>16.899999999999999</v>
      </c>
      <c r="L585">
        <v>44</v>
      </c>
      <c r="M585" t="s">
        <v>23</v>
      </c>
      <c r="N585" s="7">
        <v>45273</v>
      </c>
      <c r="O585" t="str" cm="1">
        <f t="array" ref="O585">_xlfn.IFS(tbl_loans_clean[[#This Row],[Credit_Score]]&lt;650,"580-649",tbl_loans_clean[[#This Row],[Credit_Score]]&lt;700,"650-699",tbl_loans_clean[[#This Row],[Credit_Score]]&lt;750,"700-749",TRUE,"750+")</f>
        <v>750+</v>
      </c>
    </row>
    <row r="586" spans="1:15" x14ac:dyDescent="0.35">
      <c r="A586" t="s">
        <v>188</v>
      </c>
      <c r="B586" t="s">
        <v>15</v>
      </c>
      <c r="C586" t="s">
        <v>34</v>
      </c>
      <c r="D586" t="s">
        <v>17</v>
      </c>
      <c r="E586">
        <v>155575</v>
      </c>
      <c r="F586">
        <v>4.2300000000000004</v>
      </c>
      <c r="G586">
        <v>240</v>
      </c>
      <c r="H586">
        <v>214584</v>
      </c>
      <c r="I586">
        <v>748</v>
      </c>
      <c r="J586" t="s">
        <v>26</v>
      </c>
      <c r="K586">
        <v>21.4</v>
      </c>
      <c r="L586">
        <v>45.9</v>
      </c>
      <c r="M586" t="s">
        <v>23</v>
      </c>
      <c r="N586" s="7">
        <v>45274</v>
      </c>
      <c r="O586" t="str" cm="1">
        <f t="array" ref="O586">_xlfn.IFS(tbl_loans_clean[[#This Row],[Credit_Score]]&lt;650,"580-649",tbl_loans_clean[[#This Row],[Credit_Score]]&lt;700,"650-699",tbl_loans_clean[[#This Row],[Credit_Score]]&lt;750,"700-749",TRUE,"750+")</f>
        <v>700-749</v>
      </c>
    </row>
    <row r="587" spans="1:15" x14ac:dyDescent="0.35">
      <c r="A587" t="s">
        <v>290</v>
      </c>
      <c r="B587" t="s">
        <v>37</v>
      </c>
      <c r="C587" t="s">
        <v>22</v>
      </c>
      <c r="D587" t="s">
        <v>45</v>
      </c>
      <c r="E587">
        <v>413808</v>
      </c>
      <c r="F587">
        <v>4.53</v>
      </c>
      <c r="G587">
        <v>120</v>
      </c>
      <c r="H587">
        <v>118385</v>
      </c>
      <c r="I587">
        <v>733</v>
      </c>
      <c r="J587" t="s">
        <v>18</v>
      </c>
      <c r="K587">
        <v>2</v>
      </c>
      <c r="L587">
        <v>25.2</v>
      </c>
      <c r="M587" t="s">
        <v>48</v>
      </c>
      <c r="N587" s="7">
        <v>45274</v>
      </c>
      <c r="O587" t="str" cm="1">
        <f t="array" ref="O587">_xlfn.IFS(tbl_loans_clean[[#This Row],[Credit_Score]]&lt;650,"580-649",tbl_loans_clean[[#This Row],[Credit_Score]]&lt;700,"650-699",tbl_loans_clean[[#This Row],[Credit_Score]]&lt;750,"700-749",TRUE,"750+")</f>
        <v>700-749</v>
      </c>
    </row>
    <row r="588" spans="1:15" x14ac:dyDescent="0.35">
      <c r="A588" t="s">
        <v>672</v>
      </c>
      <c r="B588" t="s">
        <v>28</v>
      </c>
      <c r="C588" t="s">
        <v>22</v>
      </c>
      <c r="D588" t="s">
        <v>38</v>
      </c>
      <c r="E588">
        <v>450376</v>
      </c>
      <c r="F588">
        <v>5.8</v>
      </c>
      <c r="G588">
        <v>300</v>
      </c>
      <c r="H588">
        <v>184863</v>
      </c>
      <c r="I588">
        <v>628</v>
      </c>
      <c r="J588" t="s">
        <v>18</v>
      </c>
      <c r="K588">
        <v>8</v>
      </c>
      <c r="L588">
        <v>32.6</v>
      </c>
      <c r="M588" t="s">
        <v>48</v>
      </c>
      <c r="N588" s="7">
        <v>45277</v>
      </c>
      <c r="O588" t="str" cm="1">
        <f t="array" ref="O588">_xlfn.IFS(tbl_loans_clean[[#This Row],[Credit_Score]]&lt;650,"580-649",tbl_loans_clean[[#This Row],[Credit_Score]]&lt;700,"650-699",tbl_loans_clean[[#This Row],[Credit_Score]]&lt;750,"700-749",TRUE,"750+")</f>
        <v>580-649</v>
      </c>
    </row>
    <row r="589" spans="1:15" x14ac:dyDescent="0.35">
      <c r="A589" t="s">
        <v>534</v>
      </c>
      <c r="B589" t="s">
        <v>30</v>
      </c>
      <c r="C589" t="s">
        <v>16</v>
      </c>
      <c r="D589" t="s">
        <v>17</v>
      </c>
      <c r="E589">
        <v>118688</v>
      </c>
      <c r="F589">
        <v>11.08</v>
      </c>
      <c r="G589">
        <v>240</v>
      </c>
      <c r="H589">
        <v>79137</v>
      </c>
      <c r="I589">
        <v>590</v>
      </c>
      <c r="J589" t="s">
        <v>35</v>
      </c>
      <c r="K589">
        <v>11.9</v>
      </c>
      <c r="L589">
        <v>14.7</v>
      </c>
      <c r="M589" t="s">
        <v>48</v>
      </c>
      <c r="N589" s="7">
        <v>45278</v>
      </c>
      <c r="O589" t="str" cm="1">
        <f t="array" ref="O589">_xlfn.IFS(tbl_loans_clean[[#This Row],[Credit_Score]]&lt;650,"580-649",tbl_loans_clean[[#This Row],[Credit_Score]]&lt;700,"650-699",tbl_loans_clean[[#This Row],[Credit_Score]]&lt;750,"700-749",TRUE,"750+")</f>
        <v>580-649</v>
      </c>
    </row>
    <row r="590" spans="1:15" x14ac:dyDescent="0.35">
      <c r="A590" t="s">
        <v>736</v>
      </c>
      <c r="B590" t="s">
        <v>30</v>
      </c>
      <c r="C590" t="s">
        <v>16</v>
      </c>
      <c r="D590" t="s">
        <v>17</v>
      </c>
      <c r="E590">
        <v>150342</v>
      </c>
      <c r="F590">
        <v>8.9600000000000009</v>
      </c>
      <c r="G590">
        <v>120</v>
      </c>
      <c r="H590">
        <v>80949</v>
      </c>
      <c r="I590">
        <v>825</v>
      </c>
      <c r="J590" t="s">
        <v>18</v>
      </c>
      <c r="K590">
        <v>3.4</v>
      </c>
      <c r="L590">
        <v>14.9</v>
      </c>
      <c r="M590" t="s">
        <v>55</v>
      </c>
      <c r="N590" s="7">
        <v>45280</v>
      </c>
      <c r="O590" t="str" cm="1">
        <f t="array" ref="O590">_xlfn.IFS(tbl_loans_clean[[#This Row],[Credit_Score]]&lt;650,"580-649",tbl_loans_clean[[#This Row],[Credit_Score]]&lt;700,"650-699",tbl_loans_clean[[#This Row],[Credit_Score]]&lt;750,"700-749",TRUE,"750+")</f>
        <v>750+</v>
      </c>
    </row>
    <row r="591" spans="1:15" x14ac:dyDescent="0.35">
      <c r="A591" t="s">
        <v>571</v>
      </c>
      <c r="B591" t="s">
        <v>37</v>
      </c>
      <c r="C591" t="s">
        <v>22</v>
      </c>
      <c r="D591" t="s">
        <v>32</v>
      </c>
      <c r="E591">
        <v>351709</v>
      </c>
      <c r="F591">
        <v>5.59</v>
      </c>
      <c r="G591">
        <v>48</v>
      </c>
      <c r="H591">
        <v>201696</v>
      </c>
      <c r="I591">
        <v>779</v>
      </c>
      <c r="J591" t="s">
        <v>18</v>
      </c>
      <c r="K591">
        <v>12</v>
      </c>
      <c r="L591">
        <v>23.8</v>
      </c>
      <c r="M591" t="s">
        <v>23</v>
      </c>
      <c r="N591" s="7">
        <v>45282</v>
      </c>
      <c r="O591" t="str" cm="1">
        <f t="array" ref="O591">_xlfn.IFS(tbl_loans_clean[[#This Row],[Credit_Score]]&lt;650,"580-649",tbl_loans_clean[[#This Row],[Credit_Score]]&lt;700,"650-699",tbl_loans_clean[[#This Row],[Credit_Score]]&lt;750,"700-749",TRUE,"750+")</f>
        <v>750+</v>
      </c>
    </row>
    <row r="592" spans="1:15" x14ac:dyDescent="0.35">
      <c r="A592" t="s">
        <v>784</v>
      </c>
      <c r="B592" t="s">
        <v>25</v>
      </c>
      <c r="C592" t="s">
        <v>16</v>
      </c>
      <c r="D592" t="s">
        <v>17</v>
      </c>
      <c r="E592">
        <v>143286</v>
      </c>
      <c r="F592">
        <v>6.38</v>
      </c>
      <c r="G592">
        <v>300</v>
      </c>
      <c r="H592">
        <v>43386</v>
      </c>
      <c r="I592">
        <v>779</v>
      </c>
      <c r="J592" t="s">
        <v>26</v>
      </c>
      <c r="K592">
        <v>23.2</v>
      </c>
      <c r="L592">
        <v>37.1</v>
      </c>
      <c r="M592" t="s">
        <v>19</v>
      </c>
      <c r="N592" s="7">
        <v>45282</v>
      </c>
      <c r="O592" t="str" cm="1">
        <f t="array" ref="O592">_xlfn.IFS(tbl_loans_clean[[#This Row],[Credit_Score]]&lt;650,"580-649",tbl_loans_clean[[#This Row],[Credit_Score]]&lt;700,"650-699",tbl_loans_clean[[#This Row],[Credit_Score]]&lt;750,"700-749",TRUE,"750+")</f>
        <v>750+</v>
      </c>
    </row>
    <row r="593" spans="1:15" x14ac:dyDescent="0.35">
      <c r="A593" t="s">
        <v>563</v>
      </c>
      <c r="B593" t="s">
        <v>15</v>
      </c>
      <c r="C593" t="s">
        <v>22</v>
      </c>
      <c r="D593" t="s">
        <v>32</v>
      </c>
      <c r="E593">
        <v>442985</v>
      </c>
      <c r="F593">
        <v>3.79</v>
      </c>
      <c r="G593">
        <v>60</v>
      </c>
      <c r="H593">
        <v>119873</v>
      </c>
      <c r="I593">
        <v>657</v>
      </c>
      <c r="J593" t="s">
        <v>39</v>
      </c>
      <c r="K593">
        <v>4.0999999999999996</v>
      </c>
      <c r="L593">
        <v>37.9</v>
      </c>
      <c r="M593" t="s">
        <v>19</v>
      </c>
      <c r="N593" s="7">
        <v>45288</v>
      </c>
      <c r="O593" t="str" cm="1">
        <f t="array" ref="O593">_xlfn.IFS(tbl_loans_clean[[#This Row],[Credit_Score]]&lt;650,"580-649",tbl_loans_clean[[#This Row],[Credit_Score]]&lt;700,"650-699",tbl_loans_clean[[#This Row],[Credit_Score]]&lt;750,"700-749",TRUE,"750+")</f>
        <v>650-699</v>
      </c>
    </row>
    <row r="594" spans="1:15" x14ac:dyDescent="0.35">
      <c r="A594" t="s">
        <v>759</v>
      </c>
      <c r="B594" t="s">
        <v>21</v>
      </c>
      <c r="C594" t="s">
        <v>34</v>
      </c>
      <c r="D594" t="s">
        <v>32</v>
      </c>
      <c r="E594">
        <v>224526</v>
      </c>
      <c r="F594">
        <v>5.88</v>
      </c>
      <c r="G594">
        <v>300</v>
      </c>
      <c r="H594">
        <v>144944</v>
      </c>
      <c r="I594">
        <v>831</v>
      </c>
      <c r="J594" t="s">
        <v>18</v>
      </c>
      <c r="K594">
        <v>11.8</v>
      </c>
      <c r="L594">
        <v>36.799999999999997</v>
      </c>
      <c r="M594" t="s">
        <v>23</v>
      </c>
      <c r="N594" s="7">
        <v>45288</v>
      </c>
      <c r="O594" t="str" cm="1">
        <f t="array" ref="O594">_xlfn.IFS(tbl_loans_clean[[#This Row],[Credit_Score]]&lt;650,"580-649",tbl_loans_clean[[#This Row],[Credit_Score]]&lt;700,"650-699",tbl_loans_clean[[#This Row],[Credit_Score]]&lt;750,"700-749",TRUE,"750+")</f>
        <v>750+</v>
      </c>
    </row>
    <row r="595" spans="1:15" x14ac:dyDescent="0.35">
      <c r="A595" t="s">
        <v>547</v>
      </c>
      <c r="B595" t="s">
        <v>30</v>
      </c>
      <c r="C595" t="s">
        <v>34</v>
      </c>
      <c r="D595" t="s">
        <v>17</v>
      </c>
      <c r="E595">
        <v>553277</v>
      </c>
      <c r="F595">
        <v>12</v>
      </c>
      <c r="G595">
        <v>12</v>
      </c>
      <c r="H595">
        <v>73201</v>
      </c>
      <c r="I595">
        <v>647</v>
      </c>
      <c r="J595" t="s">
        <v>18</v>
      </c>
      <c r="K595">
        <v>14.3</v>
      </c>
      <c r="L595">
        <v>28.3</v>
      </c>
      <c r="M595" t="s">
        <v>19</v>
      </c>
      <c r="N595" s="7">
        <v>45289</v>
      </c>
      <c r="O595" t="str" cm="1">
        <f t="array" ref="O595">_xlfn.IFS(tbl_loans_clean[[#This Row],[Credit_Score]]&lt;650,"580-649",tbl_loans_clean[[#This Row],[Credit_Score]]&lt;700,"650-699",tbl_loans_clean[[#This Row],[Credit_Score]]&lt;750,"700-749",TRUE,"750+")</f>
        <v>580-649</v>
      </c>
    </row>
    <row r="596" spans="1:15" x14ac:dyDescent="0.35">
      <c r="A596" t="s">
        <v>157</v>
      </c>
      <c r="B596" t="s">
        <v>25</v>
      </c>
      <c r="C596" t="s">
        <v>22</v>
      </c>
      <c r="D596" t="s">
        <v>17</v>
      </c>
      <c r="E596">
        <v>595706</v>
      </c>
      <c r="F596">
        <v>5.49</v>
      </c>
      <c r="G596">
        <v>24</v>
      </c>
      <c r="H596">
        <v>216728</v>
      </c>
      <c r="I596">
        <v>708</v>
      </c>
      <c r="J596" t="s">
        <v>26</v>
      </c>
      <c r="K596">
        <v>12.6</v>
      </c>
      <c r="L596">
        <v>18.5</v>
      </c>
      <c r="M596" t="s">
        <v>23</v>
      </c>
      <c r="N596" s="7">
        <v>45291</v>
      </c>
      <c r="O596" t="str" cm="1">
        <f t="array" ref="O596">_xlfn.IFS(tbl_loans_clean[[#This Row],[Credit_Score]]&lt;650,"580-649",tbl_loans_clean[[#This Row],[Credit_Score]]&lt;700,"650-699",tbl_loans_clean[[#This Row],[Credit_Score]]&lt;750,"700-749",TRUE,"750+")</f>
        <v>700-749</v>
      </c>
    </row>
    <row r="597" spans="1:15" x14ac:dyDescent="0.35">
      <c r="A597" t="s">
        <v>97</v>
      </c>
      <c r="B597" t="s">
        <v>30</v>
      </c>
      <c r="C597" t="s">
        <v>22</v>
      </c>
      <c r="D597" t="s">
        <v>17</v>
      </c>
      <c r="E597">
        <v>537844</v>
      </c>
      <c r="F597">
        <v>6.96</v>
      </c>
      <c r="G597">
        <v>36</v>
      </c>
      <c r="H597">
        <v>184697</v>
      </c>
      <c r="I597">
        <v>588</v>
      </c>
      <c r="J597" t="s">
        <v>18</v>
      </c>
      <c r="K597">
        <v>20.2</v>
      </c>
      <c r="L597">
        <v>24.6</v>
      </c>
      <c r="M597" t="s">
        <v>23</v>
      </c>
      <c r="N597" s="7">
        <v>45294</v>
      </c>
      <c r="O597" t="str" cm="1">
        <f t="array" ref="O597">_xlfn.IFS(tbl_loans_clean[[#This Row],[Credit_Score]]&lt;650,"580-649",tbl_loans_clean[[#This Row],[Credit_Score]]&lt;700,"650-699",tbl_loans_clean[[#This Row],[Credit_Score]]&lt;750,"700-749",TRUE,"750+")</f>
        <v>580-649</v>
      </c>
    </row>
    <row r="598" spans="1:15" x14ac:dyDescent="0.35">
      <c r="A598" t="s">
        <v>507</v>
      </c>
      <c r="B598" t="s">
        <v>15</v>
      </c>
      <c r="C598" t="s">
        <v>22</v>
      </c>
      <c r="D598" t="s">
        <v>38</v>
      </c>
      <c r="E598">
        <v>95306</v>
      </c>
      <c r="F598">
        <v>14.39</v>
      </c>
      <c r="G598">
        <v>48</v>
      </c>
      <c r="H598">
        <v>111860</v>
      </c>
      <c r="I598">
        <v>735</v>
      </c>
      <c r="J598" t="s">
        <v>26</v>
      </c>
      <c r="K598">
        <v>10.9</v>
      </c>
      <c r="L598">
        <v>17.600000000000001</v>
      </c>
      <c r="M598" t="s">
        <v>19</v>
      </c>
      <c r="N598" s="7">
        <v>45297</v>
      </c>
      <c r="O598" t="str" cm="1">
        <f t="array" ref="O598">_xlfn.IFS(tbl_loans_clean[[#This Row],[Credit_Score]]&lt;650,"580-649",tbl_loans_clean[[#This Row],[Credit_Score]]&lt;700,"650-699",tbl_loans_clean[[#This Row],[Credit_Score]]&lt;750,"700-749",TRUE,"750+")</f>
        <v>700-749</v>
      </c>
    </row>
    <row r="599" spans="1:15" x14ac:dyDescent="0.35">
      <c r="A599" t="s">
        <v>20</v>
      </c>
      <c r="B599" t="s">
        <v>21</v>
      </c>
      <c r="C599" t="s">
        <v>22</v>
      </c>
      <c r="D599" t="s">
        <v>17</v>
      </c>
      <c r="E599">
        <v>573302</v>
      </c>
      <c r="F599">
        <v>9.5500000000000007</v>
      </c>
      <c r="G599">
        <v>240</v>
      </c>
      <c r="H599">
        <v>58791</v>
      </c>
      <c r="I599">
        <v>648</v>
      </c>
      <c r="J599" t="s">
        <v>18</v>
      </c>
      <c r="K599">
        <v>0.5</v>
      </c>
      <c r="L599">
        <v>27.4</v>
      </c>
      <c r="M599" t="s">
        <v>23</v>
      </c>
      <c r="N599" s="7">
        <v>45298</v>
      </c>
      <c r="O599" t="str" cm="1">
        <f t="array" ref="O599">_xlfn.IFS(tbl_loans_clean[[#This Row],[Credit_Score]]&lt;650,"580-649",tbl_loans_clean[[#This Row],[Credit_Score]]&lt;700,"650-699",tbl_loans_clean[[#This Row],[Credit_Score]]&lt;750,"700-749",TRUE,"750+")</f>
        <v>580-649</v>
      </c>
    </row>
    <row r="600" spans="1:15" x14ac:dyDescent="0.35">
      <c r="A600" t="s">
        <v>276</v>
      </c>
      <c r="B600" t="s">
        <v>28</v>
      </c>
      <c r="C600" t="s">
        <v>16</v>
      </c>
      <c r="D600" t="s">
        <v>45</v>
      </c>
      <c r="E600">
        <v>182164</v>
      </c>
      <c r="F600">
        <v>8.89</v>
      </c>
      <c r="G600">
        <v>24</v>
      </c>
      <c r="H600">
        <v>192744</v>
      </c>
      <c r="I600">
        <v>605</v>
      </c>
      <c r="J600" t="s">
        <v>39</v>
      </c>
      <c r="K600">
        <v>9.6</v>
      </c>
      <c r="L600">
        <v>19.3</v>
      </c>
      <c r="M600" t="s">
        <v>19</v>
      </c>
      <c r="N600" s="7">
        <v>45298</v>
      </c>
      <c r="O600" t="str" cm="1">
        <f t="array" ref="O600">_xlfn.IFS(tbl_loans_clean[[#This Row],[Credit_Score]]&lt;650,"580-649",tbl_loans_clean[[#This Row],[Credit_Score]]&lt;700,"650-699",tbl_loans_clean[[#This Row],[Credit_Score]]&lt;750,"700-749",TRUE,"750+")</f>
        <v>580-649</v>
      </c>
    </row>
    <row r="601" spans="1:15" x14ac:dyDescent="0.35">
      <c r="A601" t="s">
        <v>586</v>
      </c>
      <c r="B601" t="s">
        <v>28</v>
      </c>
      <c r="C601" t="s">
        <v>16</v>
      </c>
      <c r="D601" t="s">
        <v>32</v>
      </c>
      <c r="E601">
        <v>642199</v>
      </c>
      <c r="F601">
        <v>6.99</v>
      </c>
      <c r="G601">
        <v>300</v>
      </c>
      <c r="H601">
        <v>112518</v>
      </c>
      <c r="I601">
        <v>680</v>
      </c>
      <c r="J601" t="s">
        <v>18</v>
      </c>
      <c r="K601">
        <v>24</v>
      </c>
      <c r="L601">
        <v>16.399999999999999</v>
      </c>
      <c r="M601" t="s">
        <v>19</v>
      </c>
      <c r="N601" s="7">
        <v>45301</v>
      </c>
      <c r="O601" t="str" cm="1">
        <f t="array" ref="O601">_xlfn.IFS(tbl_loans_clean[[#This Row],[Credit_Score]]&lt;650,"580-649",tbl_loans_clean[[#This Row],[Credit_Score]]&lt;700,"650-699",tbl_loans_clean[[#This Row],[Credit_Score]]&lt;750,"700-749",TRUE,"750+")</f>
        <v>650-699</v>
      </c>
    </row>
    <row r="602" spans="1:15" x14ac:dyDescent="0.35">
      <c r="A602" t="s">
        <v>836</v>
      </c>
      <c r="B602" t="s">
        <v>30</v>
      </c>
      <c r="C602" t="s">
        <v>16</v>
      </c>
      <c r="D602" t="s">
        <v>73</v>
      </c>
      <c r="E602">
        <v>697485</v>
      </c>
      <c r="F602">
        <v>4.55</v>
      </c>
      <c r="G602">
        <v>120</v>
      </c>
      <c r="H602">
        <v>117360</v>
      </c>
      <c r="I602">
        <v>583</v>
      </c>
      <c r="J602" t="s">
        <v>18</v>
      </c>
      <c r="K602">
        <v>18.2</v>
      </c>
      <c r="L602">
        <v>41.3</v>
      </c>
      <c r="M602" t="s">
        <v>23</v>
      </c>
      <c r="N602" s="7">
        <v>45306</v>
      </c>
      <c r="O602" t="str" cm="1">
        <f t="array" ref="O602">_xlfn.IFS(tbl_loans_clean[[#This Row],[Credit_Score]]&lt;650,"580-649",tbl_loans_clean[[#This Row],[Credit_Score]]&lt;700,"650-699",tbl_loans_clean[[#This Row],[Credit_Score]]&lt;750,"700-749",TRUE,"750+")</f>
        <v>580-649</v>
      </c>
    </row>
    <row r="603" spans="1:15" x14ac:dyDescent="0.35">
      <c r="A603" t="s">
        <v>54</v>
      </c>
      <c r="B603" t="s">
        <v>15</v>
      </c>
      <c r="C603" t="s">
        <v>22</v>
      </c>
      <c r="D603" t="s">
        <v>32</v>
      </c>
      <c r="E603">
        <v>365890</v>
      </c>
      <c r="F603">
        <v>9.3699999999999992</v>
      </c>
      <c r="G603">
        <v>24</v>
      </c>
      <c r="H603">
        <v>62754</v>
      </c>
      <c r="I603">
        <v>580</v>
      </c>
      <c r="J603" t="s">
        <v>26</v>
      </c>
      <c r="K603">
        <v>8.8000000000000007</v>
      </c>
      <c r="L603">
        <v>22.6</v>
      </c>
      <c r="M603" t="s">
        <v>55</v>
      </c>
      <c r="N603" s="7">
        <v>45307</v>
      </c>
      <c r="O603" t="str" cm="1">
        <f t="array" ref="O603">_xlfn.IFS(tbl_loans_clean[[#This Row],[Credit_Score]]&lt;650,"580-649",tbl_loans_clean[[#This Row],[Credit_Score]]&lt;700,"650-699",tbl_loans_clean[[#This Row],[Credit_Score]]&lt;750,"700-749",TRUE,"750+")</f>
        <v>580-649</v>
      </c>
    </row>
    <row r="604" spans="1:15" x14ac:dyDescent="0.35">
      <c r="A604" t="s">
        <v>434</v>
      </c>
      <c r="B604" t="s">
        <v>15</v>
      </c>
      <c r="C604" t="s">
        <v>22</v>
      </c>
      <c r="D604" t="s">
        <v>45</v>
      </c>
      <c r="E604">
        <v>341227</v>
      </c>
      <c r="F604">
        <v>12.49</v>
      </c>
      <c r="G604">
        <v>60</v>
      </c>
      <c r="H604">
        <v>198956</v>
      </c>
      <c r="I604">
        <v>623</v>
      </c>
      <c r="J604" t="s">
        <v>39</v>
      </c>
      <c r="K604">
        <v>6.7</v>
      </c>
      <c r="L604">
        <v>21.6</v>
      </c>
      <c r="M604" t="s">
        <v>23</v>
      </c>
      <c r="N604" s="7">
        <v>45307</v>
      </c>
      <c r="O604" t="str" cm="1">
        <f t="array" ref="O604">_xlfn.IFS(tbl_loans_clean[[#This Row],[Credit_Score]]&lt;650,"580-649",tbl_loans_clean[[#This Row],[Credit_Score]]&lt;700,"650-699",tbl_loans_clean[[#This Row],[Credit_Score]]&lt;750,"700-749",TRUE,"750+")</f>
        <v>580-649</v>
      </c>
    </row>
    <row r="605" spans="1:15" x14ac:dyDescent="0.35">
      <c r="A605" t="s">
        <v>562</v>
      </c>
      <c r="B605" t="s">
        <v>28</v>
      </c>
      <c r="C605" t="s">
        <v>22</v>
      </c>
      <c r="D605" t="s">
        <v>38</v>
      </c>
      <c r="E605">
        <v>514850</v>
      </c>
      <c r="F605">
        <v>7.21</v>
      </c>
      <c r="G605">
        <v>24</v>
      </c>
      <c r="H605">
        <v>189679</v>
      </c>
      <c r="I605">
        <v>637</v>
      </c>
      <c r="J605" t="s">
        <v>26</v>
      </c>
      <c r="K605">
        <v>15.9</v>
      </c>
      <c r="L605">
        <v>13.9</v>
      </c>
      <c r="M605" t="s">
        <v>23</v>
      </c>
      <c r="N605" s="7">
        <v>45307</v>
      </c>
      <c r="O605" t="str" cm="1">
        <f t="array" ref="O605">_xlfn.IFS(tbl_loans_clean[[#This Row],[Credit_Score]]&lt;650,"580-649",tbl_loans_clean[[#This Row],[Credit_Score]]&lt;700,"650-699",tbl_loans_clean[[#This Row],[Credit_Score]]&lt;750,"700-749",TRUE,"750+")</f>
        <v>580-649</v>
      </c>
    </row>
    <row r="606" spans="1:15" x14ac:dyDescent="0.35">
      <c r="A606" t="s">
        <v>810</v>
      </c>
      <c r="B606" t="s">
        <v>30</v>
      </c>
      <c r="C606" t="s">
        <v>16</v>
      </c>
      <c r="D606" t="s">
        <v>17</v>
      </c>
      <c r="E606">
        <v>256514</v>
      </c>
      <c r="F606">
        <v>5.99</v>
      </c>
      <c r="G606">
        <v>240</v>
      </c>
      <c r="H606">
        <v>146686</v>
      </c>
      <c r="I606">
        <v>757</v>
      </c>
      <c r="J606" t="s">
        <v>26</v>
      </c>
      <c r="K606">
        <v>13.8</v>
      </c>
      <c r="L606">
        <v>22.2</v>
      </c>
      <c r="M606" t="s">
        <v>48</v>
      </c>
      <c r="N606" s="7">
        <v>45309</v>
      </c>
      <c r="O606" t="str" cm="1">
        <f t="array" ref="O606">_xlfn.IFS(tbl_loans_clean[[#This Row],[Credit_Score]]&lt;650,"580-649",tbl_loans_clean[[#This Row],[Credit_Score]]&lt;700,"650-699",tbl_loans_clean[[#This Row],[Credit_Score]]&lt;750,"700-749",TRUE,"750+")</f>
        <v>750+</v>
      </c>
    </row>
    <row r="607" spans="1:15" x14ac:dyDescent="0.35">
      <c r="A607" t="s">
        <v>99</v>
      </c>
      <c r="B607" t="s">
        <v>30</v>
      </c>
      <c r="C607" t="s">
        <v>22</v>
      </c>
      <c r="D607" t="s">
        <v>32</v>
      </c>
      <c r="E607">
        <v>665858</v>
      </c>
      <c r="F607">
        <v>7.43</v>
      </c>
      <c r="G607">
        <v>36</v>
      </c>
      <c r="H607">
        <v>84396</v>
      </c>
      <c r="I607">
        <v>763</v>
      </c>
      <c r="J607" t="s">
        <v>39</v>
      </c>
      <c r="K607">
        <v>13.1</v>
      </c>
      <c r="L607">
        <v>44.7</v>
      </c>
      <c r="M607" t="s">
        <v>23</v>
      </c>
      <c r="N607" s="7">
        <v>45310</v>
      </c>
      <c r="O607" t="str" cm="1">
        <f t="array" ref="O607">_xlfn.IFS(tbl_loans_clean[[#This Row],[Credit_Score]]&lt;650,"580-649",tbl_loans_clean[[#This Row],[Credit_Score]]&lt;700,"650-699",tbl_loans_clean[[#This Row],[Credit_Score]]&lt;750,"700-749",TRUE,"750+")</f>
        <v>750+</v>
      </c>
    </row>
    <row r="608" spans="1:15" x14ac:dyDescent="0.35">
      <c r="A608" t="s">
        <v>255</v>
      </c>
      <c r="B608" t="s">
        <v>28</v>
      </c>
      <c r="C608" t="s">
        <v>16</v>
      </c>
      <c r="D608" t="s">
        <v>17</v>
      </c>
      <c r="E608">
        <v>254415</v>
      </c>
      <c r="F608">
        <v>4.45</v>
      </c>
      <c r="G608">
        <v>48</v>
      </c>
      <c r="H608">
        <v>77593</v>
      </c>
      <c r="I608">
        <v>653</v>
      </c>
      <c r="J608" t="s">
        <v>26</v>
      </c>
      <c r="K608">
        <v>13.5</v>
      </c>
      <c r="L608">
        <v>15.7</v>
      </c>
      <c r="M608" t="s">
        <v>23</v>
      </c>
      <c r="N608" s="7">
        <v>45313</v>
      </c>
      <c r="O608" t="str" cm="1">
        <f t="array" ref="O608">_xlfn.IFS(tbl_loans_clean[[#This Row],[Credit_Score]]&lt;650,"580-649",tbl_loans_clean[[#This Row],[Credit_Score]]&lt;700,"650-699",tbl_loans_clean[[#This Row],[Credit_Score]]&lt;750,"700-749",TRUE,"750+")</f>
        <v>650-699</v>
      </c>
    </row>
    <row r="609" spans="1:15" x14ac:dyDescent="0.35">
      <c r="A609" t="s">
        <v>693</v>
      </c>
      <c r="B609" t="s">
        <v>15</v>
      </c>
      <c r="C609" t="s">
        <v>16</v>
      </c>
      <c r="D609" t="s">
        <v>73</v>
      </c>
      <c r="E609">
        <v>401087</v>
      </c>
      <c r="F609">
        <v>12.75</v>
      </c>
      <c r="G609">
        <v>300</v>
      </c>
      <c r="H609">
        <v>150990</v>
      </c>
      <c r="I609">
        <v>798</v>
      </c>
      <c r="J609" t="s">
        <v>39</v>
      </c>
      <c r="K609">
        <v>16.100000000000001</v>
      </c>
      <c r="L609">
        <v>22.2</v>
      </c>
      <c r="M609" t="s">
        <v>48</v>
      </c>
      <c r="N609" s="7">
        <v>45313</v>
      </c>
      <c r="O609" t="str" cm="1">
        <f t="array" ref="O609">_xlfn.IFS(tbl_loans_clean[[#This Row],[Credit_Score]]&lt;650,"580-649",tbl_loans_clean[[#This Row],[Credit_Score]]&lt;700,"650-699",tbl_loans_clean[[#This Row],[Credit_Score]]&lt;750,"700-749",TRUE,"750+")</f>
        <v>750+</v>
      </c>
    </row>
    <row r="610" spans="1:15" x14ac:dyDescent="0.35">
      <c r="A610" t="s">
        <v>744</v>
      </c>
      <c r="B610" t="s">
        <v>30</v>
      </c>
      <c r="C610" t="s">
        <v>22</v>
      </c>
      <c r="D610" t="s">
        <v>32</v>
      </c>
      <c r="E610">
        <v>652096</v>
      </c>
      <c r="F610">
        <v>3.48</v>
      </c>
      <c r="G610">
        <v>48</v>
      </c>
      <c r="H610">
        <v>99916</v>
      </c>
      <c r="I610">
        <v>775</v>
      </c>
      <c r="J610" t="s">
        <v>18</v>
      </c>
      <c r="K610">
        <v>20.5</v>
      </c>
      <c r="L610">
        <v>17.899999999999999</v>
      </c>
      <c r="M610" t="s">
        <v>23</v>
      </c>
      <c r="N610" s="7">
        <v>45322</v>
      </c>
      <c r="O610" t="str" cm="1">
        <f t="array" ref="O610">_xlfn.IFS(tbl_loans_clean[[#This Row],[Credit_Score]]&lt;650,"580-649",tbl_loans_clean[[#This Row],[Credit_Score]]&lt;700,"650-699",tbl_loans_clean[[#This Row],[Credit_Score]]&lt;750,"700-749",TRUE,"750+")</f>
        <v>750+</v>
      </c>
    </row>
    <row r="611" spans="1:15" x14ac:dyDescent="0.35">
      <c r="A611" t="s">
        <v>312</v>
      </c>
      <c r="B611" t="s">
        <v>25</v>
      </c>
      <c r="C611" t="s">
        <v>22</v>
      </c>
      <c r="D611" t="s">
        <v>38</v>
      </c>
      <c r="E611">
        <v>152309</v>
      </c>
      <c r="F611">
        <v>5.68</v>
      </c>
      <c r="G611">
        <v>48</v>
      </c>
      <c r="H611">
        <v>132186</v>
      </c>
      <c r="I611">
        <v>740</v>
      </c>
      <c r="J611" t="s">
        <v>26</v>
      </c>
      <c r="K611">
        <v>19.8</v>
      </c>
      <c r="L611">
        <v>27.3</v>
      </c>
      <c r="M611" t="s">
        <v>23</v>
      </c>
      <c r="N611" s="7">
        <v>45323</v>
      </c>
      <c r="O611" t="str" cm="1">
        <f t="array" ref="O611">_xlfn.IFS(tbl_loans_clean[[#This Row],[Credit_Score]]&lt;650,"580-649",tbl_loans_clean[[#This Row],[Credit_Score]]&lt;700,"650-699",tbl_loans_clean[[#This Row],[Credit_Score]]&lt;750,"700-749",TRUE,"750+")</f>
        <v>700-749</v>
      </c>
    </row>
    <row r="612" spans="1:15" x14ac:dyDescent="0.35">
      <c r="A612" t="s">
        <v>440</v>
      </c>
      <c r="B612" t="s">
        <v>25</v>
      </c>
      <c r="C612" t="s">
        <v>16</v>
      </c>
      <c r="D612" t="s">
        <v>17</v>
      </c>
      <c r="E612">
        <v>293816</v>
      </c>
      <c r="F612">
        <v>13.81</v>
      </c>
      <c r="G612">
        <v>48</v>
      </c>
      <c r="H612">
        <v>168262</v>
      </c>
      <c r="I612">
        <v>630</v>
      </c>
      <c r="J612" t="s">
        <v>18</v>
      </c>
      <c r="K612">
        <v>2.2000000000000002</v>
      </c>
      <c r="L612">
        <v>29.5</v>
      </c>
      <c r="M612" t="s">
        <v>48</v>
      </c>
      <c r="N612" s="7">
        <v>45323</v>
      </c>
      <c r="O612" t="str" cm="1">
        <f t="array" ref="O612">_xlfn.IFS(tbl_loans_clean[[#This Row],[Credit_Score]]&lt;650,"580-649",tbl_loans_clean[[#This Row],[Credit_Score]]&lt;700,"650-699",tbl_loans_clean[[#This Row],[Credit_Score]]&lt;750,"700-749",TRUE,"750+")</f>
        <v>580-649</v>
      </c>
    </row>
    <row r="613" spans="1:15" x14ac:dyDescent="0.35">
      <c r="A613" t="s">
        <v>289</v>
      </c>
      <c r="B613" t="s">
        <v>21</v>
      </c>
      <c r="C613" t="s">
        <v>34</v>
      </c>
      <c r="D613" t="s">
        <v>43</v>
      </c>
      <c r="E613">
        <v>659224</v>
      </c>
      <c r="F613">
        <v>5.79</v>
      </c>
      <c r="G613">
        <v>24</v>
      </c>
      <c r="H613">
        <v>44555</v>
      </c>
      <c r="I613">
        <v>634</v>
      </c>
      <c r="J613" t="s">
        <v>18</v>
      </c>
      <c r="K613">
        <v>5</v>
      </c>
      <c r="L613">
        <v>13.2</v>
      </c>
      <c r="M613" t="s">
        <v>55</v>
      </c>
      <c r="N613" s="7">
        <v>45324</v>
      </c>
      <c r="O613" t="str" cm="1">
        <f t="array" ref="O613">_xlfn.IFS(tbl_loans_clean[[#This Row],[Credit_Score]]&lt;650,"580-649",tbl_loans_clean[[#This Row],[Credit_Score]]&lt;700,"650-699",tbl_loans_clean[[#This Row],[Credit_Score]]&lt;750,"700-749",TRUE,"750+")</f>
        <v>580-649</v>
      </c>
    </row>
    <row r="614" spans="1:15" x14ac:dyDescent="0.35">
      <c r="A614" t="s">
        <v>583</v>
      </c>
      <c r="B614" t="s">
        <v>28</v>
      </c>
      <c r="C614" t="s">
        <v>22</v>
      </c>
      <c r="D614" t="s">
        <v>32</v>
      </c>
      <c r="E614">
        <v>59110</v>
      </c>
      <c r="F614">
        <v>8.4499999999999993</v>
      </c>
      <c r="G614">
        <v>24</v>
      </c>
      <c r="H614">
        <v>42175</v>
      </c>
      <c r="I614">
        <v>583</v>
      </c>
      <c r="J614" t="s">
        <v>18</v>
      </c>
      <c r="K614">
        <v>7.9</v>
      </c>
      <c r="L614">
        <v>43.8</v>
      </c>
      <c r="M614" t="s">
        <v>19</v>
      </c>
      <c r="N614" s="7">
        <v>45326</v>
      </c>
      <c r="O614" t="str" cm="1">
        <f t="array" ref="O614">_xlfn.IFS(tbl_loans_clean[[#This Row],[Credit_Score]]&lt;650,"580-649",tbl_loans_clean[[#This Row],[Credit_Score]]&lt;700,"650-699",tbl_loans_clean[[#This Row],[Credit_Score]]&lt;750,"700-749",TRUE,"750+")</f>
        <v>580-649</v>
      </c>
    </row>
    <row r="615" spans="1:15" x14ac:dyDescent="0.35">
      <c r="A615" t="s">
        <v>777</v>
      </c>
      <c r="B615" t="s">
        <v>37</v>
      </c>
      <c r="C615" t="s">
        <v>22</v>
      </c>
      <c r="D615" t="s">
        <v>32</v>
      </c>
      <c r="E615">
        <v>673516</v>
      </c>
      <c r="F615">
        <v>10.87</v>
      </c>
      <c r="G615">
        <v>36</v>
      </c>
      <c r="H615">
        <v>138195</v>
      </c>
      <c r="I615">
        <v>746</v>
      </c>
      <c r="J615" t="s">
        <v>18</v>
      </c>
      <c r="K615">
        <v>11.8</v>
      </c>
      <c r="L615">
        <v>45</v>
      </c>
      <c r="M615" t="s">
        <v>19</v>
      </c>
      <c r="N615" s="7">
        <v>45327</v>
      </c>
      <c r="O615" t="str" cm="1">
        <f t="array" ref="O615">_xlfn.IFS(tbl_loans_clean[[#This Row],[Credit_Score]]&lt;650,"580-649",tbl_loans_clean[[#This Row],[Credit_Score]]&lt;700,"650-699",tbl_loans_clean[[#This Row],[Credit_Score]]&lt;750,"700-749",TRUE,"750+")</f>
        <v>700-749</v>
      </c>
    </row>
    <row r="616" spans="1:15" x14ac:dyDescent="0.35">
      <c r="A616" t="s">
        <v>36</v>
      </c>
      <c r="B616" t="s">
        <v>37</v>
      </c>
      <c r="C616" t="s">
        <v>34</v>
      </c>
      <c r="D616" t="s">
        <v>38</v>
      </c>
      <c r="E616">
        <v>737847</v>
      </c>
      <c r="F616">
        <v>11.5</v>
      </c>
      <c r="G616">
        <v>24</v>
      </c>
      <c r="H616">
        <v>75014</v>
      </c>
      <c r="I616">
        <v>776</v>
      </c>
      <c r="J616" t="s">
        <v>39</v>
      </c>
      <c r="K616">
        <v>5.4</v>
      </c>
      <c r="L616">
        <v>44.4</v>
      </c>
      <c r="M616" t="s">
        <v>23</v>
      </c>
      <c r="N616" s="7">
        <v>45329</v>
      </c>
      <c r="O616" t="str" cm="1">
        <f t="array" ref="O616">_xlfn.IFS(tbl_loans_clean[[#This Row],[Credit_Score]]&lt;650,"580-649",tbl_loans_clean[[#This Row],[Credit_Score]]&lt;700,"650-699",tbl_loans_clean[[#This Row],[Credit_Score]]&lt;750,"700-749",TRUE,"750+")</f>
        <v>750+</v>
      </c>
    </row>
    <row r="617" spans="1:15" x14ac:dyDescent="0.35">
      <c r="A617" t="s">
        <v>359</v>
      </c>
      <c r="B617" t="s">
        <v>30</v>
      </c>
      <c r="C617" t="s">
        <v>34</v>
      </c>
      <c r="D617" t="s">
        <v>45</v>
      </c>
      <c r="E617">
        <v>504909</v>
      </c>
      <c r="F617">
        <v>13.17</v>
      </c>
      <c r="G617">
        <v>24</v>
      </c>
      <c r="H617">
        <v>57831</v>
      </c>
      <c r="I617">
        <v>598</v>
      </c>
      <c r="J617" t="s">
        <v>39</v>
      </c>
      <c r="K617">
        <v>10.5</v>
      </c>
      <c r="L617">
        <v>44</v>
      </c>
      <c r="M617" t="s">
        <v>23</v>
      </c>
      <c r="N617" s="7">
        <v>45334</v>
      </c>
      <c r="O617" t="str" cm="1">
        <f t="array" ref="O617">_xlfn.IFS(tbl_loans_clean[[#This Row],[Credit_Score]]&lt;650,"580-649",tbl_loans_clean[[#This Row],[Credit_Score]]&lt;700,"650-699",tbl_loans_clean[[#This Row],[Credit_Score]]&lt;750,"700-749",TRUE,"750+")</f>
        <v>580-649</v>
      </c>
    </row>
    <row r="618" spans="1:15" x14ac:dyDescent="0.35">
      <c r="A618" t="s">
        <v>171</v>
      </c>
      <c r="B618" t="s">
        <v>15</v>
      </c>
      <c r="C618" t="s">
        <v>22</v>
      </c>
      <c r="D618" t="s">
        <v>17</v>
      </c>
      <c r="E618">
        <v>198226</v>
      </c>
      <c r="F618">
        <v>14.24</v>
      </c>
      <c r="G618">
        <v>60</v>
      </c>
      <c r="H618">
        <v>46157</v>
      </c>
      <c r="I618">
        <v>771</v>
      </c>
      <c r="J618" t="s">
        <v>26</v>
      </c>
      <c r="K618">
        <v>0.7</v>
      </c>
      <c r="L618">
        <v>39.200000000000003</v>
      </c>
      <c r="M618" t="s">
        <v>19</v>
      </c>
      <c r="N618" s="7">
        <v>45335</v>
      </c>
      <c r="O618" t="str" cm="1">
        <f t="array" ref="O618">_xlfn.IFS(tbl_loans_clean[[#This Row],[Credit_Score]]&lt;650,"580-649",tbl_loans_clean[[#This Row],[Credit_Score]]&lt;700,"650-699",tbl_loans_clean[[#This Row],[Credit_Score]]&lt;750,"700-749",TRUE,"750+")</f>
        <v>750+</v>
      </c>
    </row>
    <row r="619" spans="1:15" x14ac:dyDescent="0.35">
      <c r="A619" t="s">
        <v>799</v>
      </c>
      <c r="B619" t="s">
        <v>15</v>
      </c>
      <c r="C619" t="s">
        <v>22</v>
      </c>
      <c r="D619" t="s">
        <v>17</v>
      </c>
      <c r="E619">
        <v>369986</v>
      </c>
      <c r="F619">
        <v>5.3</v>
      </c>
      <c r="G619">
        <v>48</v>
      </c>
      <c r="H619">
        <v>69505</v>
      </c>
      <c r="I619">
        <v>745</v>
      </c>
      <c r="J619" t="s">
        <v>18</v>
      </c>
      <c r="K619">
        <v>5.2</v>
      </c>
      <c r="L619">
        <v>8.8000000000000007</v>
      </c>
      <c r="M619" t="s">
        <v>55</v>
      </c>
      <c r="N619" s="7">
        <v>45338</v>
      </c>
      <c r="O619" t="str" cm="1">
        <f t="array" ref="O619">_xlfn.IFS(tbl_loans_clean[[#This Row],[Credit_Score]]&lt;650,"580-649",tbl_loans_clean[[#This Row],[Credit_Score]]&lt;700,"650-699",tbl_loans_clean[[#This Row],[Credit_Score]]&lt;750,"700-749",TRUE,"750+")</f>
        <v>700-749</v>
      </c>
    </row>
    <row r="620" spans="1:15" x14ac:dyDescent="0.35">
      <c r="A620" t="s">
        <v>338</v>
      </c>
      <c r="B620" t="s">
        <v>25</v>
      </c>
      <c r="C620" t="s">
        <v>22</v>
      </c>
      <c r="D620" t="s">
        <v>45</v>
      </c>
      <c r="E620">
        <v>204775</v>
      </c>
      <c r="F620">
        <v>7.94</v>
      </c>
      <c r="G620">
        <v>48</v>
      </c>
      <c r="H620">
        <v>79322</v>
      </c>
      <c r="I620">
        <v>663</v>
      </c>
      <c r="J620" t="s">
        <v>35</v>
      </c>
      <c r="K620">
        <v>3.6</v>
      </c>
      <c r="L620">
        <v>36.299999999999997</v>
      </c>
      <c r="M620" t="s">
        <v>23</v>
      </c>
      <c r="N620" s="7">
        <v>45339</v>
      </c>
      <c r="O620" t="str" cm="1">
        <f t="array" ref="O620">_xlfn.IFS(tbl_loans_clean[[#This Row],[Credit_Score]]&lt;650,"580-649",tbl_loans_clean[[#This Row],[Credit_Score]]&lt;700,"650-699",tbl_loans_clean[[#This Row],[Credit_Score]]&lt;750,"700-749",TRUE,"750+")</f>
        <v>650-699</v>
      </c>
    </row>
    <row r="621" spans="1:15" x14ac:dyDescent="0.35">
      <c r="A621" t="s">
        <v>538</v>
      </c>
      <c r="B621" t="s">
        <v>15</v>
      </c>
      <c r="C621" t="s">
        <v>22</v>
      </c>
      <c r="D621" t="s">
        <v>45</v>
      </c>
      <c r="E621">
        <v>385596</v>
      </c>
      <c r="F621">
        <v>10.39</v>
      </c>
      <c r="G621">
        <v>120</v>
      </c>
      <c r="H621">
        <v>210520</v>
      </c>
      <c r="I621">
        <v>800</v>
      </c>
      <c r="J621" t="s">
        <v>26</v>
      </c>
      <c r="K621">
        <v>24.8</v>
      </c>
      <c r="L621">
        <v>41.2</v>
      </c>
      <c r="M621" t="s">
        <v>23</v>
      </c>
      <c r="N621" s="7">
        <v>45341</v>
      </c>
      <c r="O621" t="str" cm="1">
        <f t="array" ref="O621">_xlfn.IFS(tbl_loans_clean[[#This Row],[Credit_Score]]&lt;650,"580-649",tbl_loans_clean[[#This Row],[Credit_Score]]&lt;700,"650-699",tbl_loans_clean[[#This Row],[Credit_Score]]&lt;750,"700-749",TRUE,"750+")</f>
        <v>750+</v>
      </c>
    </row>
    <row r="622" spans="1:15" x14ac:dyDescent="0.35">
      <c r="A622" t="s">
        <v>764</v>
      </c>
      <c r="B622" t="s">
        <v>30</v>
      </c>
      <c r="C622" t="s">
        <v>22</v>
      </c>
      <c r="D622" t="s">
        <v>45</v>
      </c>
      <c r="E622">
        <v>420534</v>
      </c>
      <c r="F622">
        <v>3.95</v>
      </c>
      <c r="G622">
        <v>24</v>
      </c>
      <c r="H622">
        <v>173631</v>
      </c>
      <c r="I622">
        <v>655</v>
      </c>
      <c r="J622" t="s">
        <v>18</v>
      </c>
      <c r="K622">
        <v>13.7</v>
      </c>
      <c r="L622">
        <v>21.4</v>
      </c>
      <c r="M622" t="s">
        <v>55</v>
      </c>
      <c r="N622" s="7">
        <v>45344</v>
      </c>
      <c r="O622" t="str" cm="1">
        <f t="array" ref="O622">_xlfn.IFS(tbl_loans_clean[[#This Row],[Credit_Score]]&lt;650,"580-649",tbl_loans_clean[[#This Row],[Credit_Score]]&lt;700,"650-699",tbl_loans_clean[[#This Row],[Credit_Score]]&lt;750,"700-749",TRUE,"750+")</f>
        <v>650-699</v>
      </c>
    </row>
    <row r="623" spans="1:15" x14ac:dyDescent="0.35">
      <c r="A623" t="s">
        <v>749</v>
      </c>
      <c r="B623" t="s">
        <v>25</v>
      </c>
      <c r="C623" t="s">
        <v>16</v>
      </c>
      <c r="D623" t="s">
        <v>45</v>
      </c>
      <c r="E623">
        <v>304188</v>
      </c>
      <c r="F623">
        <v>4.46</v>
      </c>
      <c r="G623">
        <v>60</v>
      </c>
      <c r="H623">
        <v>179723</v>
      </c>
      <c r="I623">
        <v>725</v>
      </c>
      <c r="J623" t="s">
        <v>26</v>
      </c>
      <c r="K623">
        <v>23.9</v>
      </c>
      <c r="L623">
        <v>15.9</v>
      </c>
      <c r="M623" t="s">
        <v>55</v>
      </c>
      <c r="N623" s="7">
        <v>45345</v>
      </c>
      <c r="O623" t="str" cm="1">
        <f t="array" ref="O623">_xlfn.IFS(tbl_loans_clean[[#This Row],[Credit_Score]]&lt;650,"580-649",tbl_loans_clean[[#This Row],[Credit_Score]]&lt;700,"650-699",tbl_loans_clean[[#This Row],[Credit_Score]]&lt;750,"700-749",TRUE,"750+")</f>
        <v>700-749</v>
      </c>
    </row>
    <row r="624" spans="1:15" x14ac:dyDescent="0.35">
      <c r="A624" t="s">
        <v>94</v>
      </c>
      <c r="B624" t="s">
        <v>28</v>
      </c>
      <c r="C624" t="s">
        <v>22</v>
      </c>
      <c r="D624" t="s">
        <v>17</v>
      </c>
      <c r="E624">
        <v>414064</v>
      </c>
      <c r="F624">
        <v>6.43</v>
      </c>
      <c r="G624">
        <v>12</v>
      </c>
      <c r="H624">
        <v>45241</v>
      </c>
      <c r="I624">
        <v>772</v>
      </c>
      <c r="J624" t="s">
        <v>18</v>
      </c>
      <c r="K624">
        <v>9.4</v>
      </c>
      <c r="L624">
        <v>9.1</v>
      </c>
      <c r="M624" t="s">
        <v>23</v>
      </c>
      <c r="N624" s="7">
        <v>45350</v>
      </c>
      <c r="O624" t="str" cm="1">
        <f t="array" ref="O624">_xlfn.IFS(tbl_loans_clean[[#This Row],[Credit_Score]]&lt;650,"580-649",tbl_loans_clean[[#This Row],[Credit_Score]]&lt;700,"650-699",tbl_loans_clean[[#This Row],[Credit_Score]]&lt;750,"700-749",TRUE,"750+")</f>
        <v>750+</v>
      </c>
    </row>
    <row r="625" spans="1:15" x14ac:dyDescent="0.35">
      <c r="A625" t="s">
        <v>159</v>
      </c>
      <c r="B625" t="s">
        <v>83</v>
      </c>
      <c r="C625" t="s">
        <v>16</v>
      </c>
      <c r="D625" t="s">
        <v>52</v>
      </c>
      <c r="E625">
        <v>135351</v>
      </c>
      <c r="F625">
        <v>11.12</v>
      </c>
      <c r="G625">
        <v>12</v>
      </c>
      <c r="H625">
        <v>176376</v>
      </c>
      <c r="I625">
        <v>637</v>
      </c>
      <c r="J625" t="s">
        <v>35</v>
      </c>
      <c r="K625">
        <v>16.600000000000001</v>
      </c>
      <c r="L625">
        <v>27.3</v>
      </c>
      <c r="M625" t="s">
        <v>48</v>
      </c>
      <c r="N625" s="7">
        <v>45350</v>
      </c>
      <c r="O625" t="str" cm="1">
        <f t="array" ref="O625">_xlfn.IFS(tbl_loans_clean[[#This Row],[Credit_Score]]&lt;650,"580-649",tbl_loans_clean[[#This Row],[Credit_Score]]&lt;700,"650-699",tbl_loans_clean[[#This Row],[Credit_Score]]&lt;750,"700-749",TRUE,"750+")</f>
        <v>580-649</v>
      </c>
    </row>
    <row r="626" spans="1:15" x14ac:dyDescent="0.35">
      <c r="A626" t="s">
        <v>524</v>
      </c>
      <c r="B626" t="s">
        <v>15</v>
      </c>
      <c r="C626" t="s">
        <v>16</v>
      </c>
      <c r="D626" t="s">
        <v>32</v>
      </c>
      <c r="E626">
        <v>66215</v>
      </c>
      <c r="F626">
        <v>9.9</v>
      </c>
      <c r="G626">
        <v>120</v>
      </c>
      <c r="H626">
        <v>199097</v>
      </c>
      <c r="I626">
        <v>827</v>
      </c>
      <c r="J626" t="s">
        <v>18</v>
      </c>
      <c r="K626">
        <v>4</v>
      </c>
      <c r="L626">
        <v>41.6</v>
      </c>
      <c r="M626" t="s">
        <v>19</v>
      </c>
      <c r="N626" s="7">
        <v>45352</v>
      </c>
      <c r="O626" t="str" cm="1">
        <f t="array" ref="O626">_xlfn.IFS(tbl_loans_clean[[#This Row],[Credit_Score]]&lt;650,"580-649",tbl_loans_clean[[#This Row],[Credit_Score]]&lt;700,"650-699",tbl_loans_clean[[#This Row],[Credit_Score]]&lt;750,"700-749",TRUE,"750+")</f>
        <v>750+</v>
      </c>
    </row>
    <row r="627" spans="1:15" x14ac:dyDescent="0.35">
      <c r="A627" t="s">
        <v>415</v>
      </c>
      <c r="B627" t="s">
        <v>28</v>
      </c>
      <c r="C627" t="s">
        <v>22</v>
      </c>
      <c r="D627" t="s">
        <v>32</v>
      </c>
      <c r="E627">
        <v>39773</v>
      </c>
      <c r="F627">
        <v>10.59</v>
      </c>
      <c r="G627">
        <v>240</v>
      </c>
      <c r="H627">
        <v>110733</v>
      </c>
      <c r="I627">
        <v>703</v>
      </c>
      <c r="J627" t="s">
        <v>18</v>
      </c>
      <c r="K627">
        <v>4.3</v>
      </c>
      <c r="L627">
        <v>22.7</v>
      </c>
      <c r="M627" t="s">
        <v>19</v>
      </c>
      <c r="N627" s="7">
        <v>45354</v>
      </c>
      <c r="O627" t="str" cm="1">
        <f t="array" ref="O627">_xlfn.IFS(tbl_loans_clean[[#This Row],[Credit_Score]]&lt;650,"580-649",tbl_loans_clean[[#This Row],[Credit_Score]]&lt;700,"650-699",tbl_loans_clean[[#This Row],[Credit_Score]]&lt;750,"700-749",TRUE,"750+")</f>
        <v>700-749</v>
      </c>
    </row>
    <row r="628" spans="1:15" x14ac:dyDescent="0.35">
      <c r="A628" t="s">
        <v>64</v>
      </c>
      <c r="B628" t="s">
        <v>15</v>
      </c>
      <c r="C628" t="s">
        <v>22</v>
      </c>
      <c r="D628" t="s">
        <v>32</v>
      </c>
      <c r="E628">
        <v>686777</v>
      </c>
      <c r="F628">
        <v>7.68</v>
      </c>
      <c r="G628">
        <v>300</v>
      </c>
      <c r="H628">
        <v>35493</v>
      </c>
      <c r="I628">
        <v>740</v>
      </c>
      <c r="J628" t="s">
        <v>18</v>
      </c>
      <c r="K628">
        <v>4.9000000000000004</v>
      </c>
      <c r="L628">
        <v>37.5</v>
      </c>
      <c r="M628" t="s">
        <v>23</v>
      </c>
      <c r="N628" s="7">
        <v>45355</v>
      </c>
      <c r="O628" t="str" cm="1">
        <f t="array" ref="O628">_xlfn.IFS(tbl_loans_clean[[#This Row],[Credit_Score]]&lt;650,"580-649",tbl_loans_clean[[#This Row],[Credit_Score]]&lt;700,"650-699",tbl_loans_clean[[#This Row],[Credit_Score]]&lt;750,"700-749",TRUE,"750+")</f>
        <v>700-749</v>
      </c>
    </row>
    <row r="629" spans="1:15" x14ac:dyDescent="0.35">
      <c r="A629" t="s">
        <v>494</v>
      </c>
      <c r="B629" t="s">
        <v>15</v>
      </c>
      <c r="C629" t="s">
        <v>22</v>
      </c>
      <c r="D629" t="s">
        <v>17</v>
      </c>
      <c r="E629">
        <v>320014</v>
      </c>
      <c r="F629">
        <v>5.82</v>
      </c>
      <c r="G629">
        <v>24</v>
      </c>
      <c r="H629">
        <v>176082</v>
      </c>
      <c r="I629">
        <v>636</v>
      </c>
      <c r="J629" t="s">
        <v>18</v>
      </c>
      <c r="K629">
        <v>11.5</v>
      </c>
      <c r="L629">
        <v>30.3</v>
      </c>
      <c r="M629" t="s">
        <v>23</v>
      </c>
      <c r="N629" s="7">
        <v>45357</v>
      </c>
      <c r="O629" t="str" cm="1">
        <f t="array" ref="O629">_xlfn.IFS(tbl_loans_clean[[#This Row],[Credit_Score]]&lt;650,"580-649",tbl_loans_clean[[#This Row],[Credit_Score]]&lt;700,"650-699",tbl_loans_clean[[#This Row],[Credit_Score]]&lt;750,"700-749",TRUE,"750+")</f>
        <v>580-649</v>
      </c>
    </row>
    <row r="630" spans="1:15" x14ac:dyDescent="0.35">
      <c r="A630" t="s">
        <v>603</v>
      </c>
      <c r="B630" t="s">
        <v>30</v>
      </c>
      <c r="C630" t="s">
        <v>22</v>
      </c>
      <c r="D630" t="s">
        <v>45</v>
      </c>
      <c r="E630">
        <v>497402</v>
      </c>
      <c r="F630">
        <v>11.78</v>
      </c>
      <c r="G630">
        <v>300</v>
      </c>
      <c r="H630">
        <v>99833</v>
      </c>
      <c r="I630">
        <v>580</v>
      </c>
      <c r="J630" t="s">
        <v>18</v>
      </c>
      <c r="K630">
        <v>19.899999999999999</v>
      </c>
      <c r="L630">
        <v>23.9</v>
      </c>
      <c r="M630" t="s">
        <v>23</v>
      </c>
      <c r="N630" s="7">
        <v>45358</v>
      </c>
      <c r="O630" t="str" cm="1">
        <f t="array" ref="O630">_xlfn.IFS(tbl_loans_clean[[#This Row],[Credit_Score]]&lt;650,"580-649",tbl_loans_clean[[#This Row],[Credit_Score]]&lt;700,"650-699",tbl_loans_clean[[#This Row],[Credit_Score]]&lt;750,"700-749",TRUE,"750+")</f>
        <v>580-649</v>
      </c>
    </row>
    <row r="631" spans="1:15" x14ac:dyDescent="0.35">
      <c r="A631" t="s">
        <v>714</v>
      </c>
      <c r="B631" t="s">
        <v>30</v>
      </c>
      <c r="C631" t="s">
        <v>34</v>
      </c>
      <c r="D631" t="s">
        <v>32</v>
      </c>
      <c r="E631">
        <v>499700</v>
      </c>
      <c r="F631">
        <v>6.49</v>
      </c>
      <c r="G631">
        <v>48</v>
      </c>
      <c r="H631">
        <v>174583</v>
      </c>
      <c r="I631">
        <v>732</v>
      </c>
      <c r="J631" t="s">
        <v>26</v>
      </c>
      <c r="K631">
        <v>15.4</v>
      </c>
      <c r="L631">
        <v>44.1</v>
      </c>
      <c r="M631" t="s">
        <v>19</v>
      </c>
      <c r="N631" s="7">
        <v>45358</v>
      </c>
      <c r="O631" t="str" cm="1">
        <f t="array" ref="O631">_xlfn.IFS(tbl_loans_clean[[#This Row],[Credit_Score]]&lt;650,"580-649",tbl_loans_clean[[#This Row],[Credit_Score]]&lt;700,"650-699",tbl_loans_clean[[#This Row],[Credit_Score]]&lt;750,"700-749",TRUE,"750+")</f>
        <v>700-749</v>
      </c>
    </row>
    <row r="632" spans="1:15" x14ac:dyDescent="0.35">
      <c r="A632" t="s">
        <v>439</v>
      </c>
      <c r="B632" t="s">
        <v>15</v>
      </c>
      <c r="C632" t="s">
        <v>34</v>
      </c>
      <c r="D632" t="s">
        <v>17</v>
      </c>
      <c r="E632">
        <v>514452</v>
      </c>
      <c r="F632">
        <v>6.18</v>
      </c>
      <c r="G632">
        <v>12</v>
      </c>
      <c r="H632">
        <v>122242</v>
      </c>
      <c r="I632">
        <v>821</v>
      </c>
      <c r="J632" t="s">
        <v>18</v>
      </c>
      <c r="K632">
        <v>21.5</v>
      </c>
      <c r="L632">
        <v>12.7</v>
      </c>
      <c r="M632" t="s">
        <v>19</v>
      </c>
      <c r="N632" s="7">
        <v>45361</v>
      </c>
      <c r="O632" t="str" cm="1">
        <f t="array" ref="O632">_xlfn.IFS(tbl_loans_clean[[#This Row],[Credit_Score]]&lt;650,"580-649",tbl_loans_clean[[#This Row],[Credit_Score]]&lt;700,"650-699",tbl_loans_clean[[#This Row],[Credit_Score]]&lt;750,"700-749",TRUE,"750+")</f>
        <v>750+</v>
      </c>
    </row>
    <row r="633" spans="1:15" x14ac:dyDescent="0.35">
      <c r="A633" t="s">
        <v>627</v>
      </c>
      <c r="B633" t="s">
        <v>30</v>
      </c>
      <c r="C633" t="s">
        <v>22</v>
      </c>
      <c r="D633" t="s">
        <v>73</v>
      </c>
      <c r="E633">
        <v>144227</v>
      </c>
      <c r="F633">
        <v>4.75</v>
      </c>
      <c r="G633">
        <v>36</v>
      </c>
      <c r="H633">
        <v>87658</v>
      </c>
      <c r="I633">
        <v>659</v>
      </c>
      <c r="J633" t="s">
        <v>39</v>
      </c>
      <c r="K633">
        <v>15.5</v>
      </c>
      <c r="L633">
        <v>32.9</v>
      </c>
      <c r="M633" t="s">
        <v>23</v>
      </c>
      <c r="N633" s="7">
        <v>45361</v>
      </c>
      <c r="O633" t="str" cm="1">
        <f t="array" ref="O633">_xlfn.IFS(tbl_loans_clean[[#This Row],[Credit_Score]]&lt;650,"580-649",tbl_loans_clean[[#This Row],[Credit_Score]]&lt;700,"650-699",tbl_loans_clean[[#This Row],[Credit_Score]]&lt;750,"700-749",TRUE,"750+")</f>
        <v>650-699</v>
      </c>
    </row>
    <row r="634" spans="1:15" x14ac:dyDescent="0.35">
      <c r="A634" t="s">
        <v>220</v>
      </c>
      <c r="B634" t="s">
        <v>30</v>
      </c>
      <c r="C634" t="s">
        <v>16</v>
      </c>
      <c r="D634" t="s">
        <v>43</v>
      </c>
      <c r="E634">
        <v>63653</v>
      </c>
      <c r="F634">
        <v>7.36</v>
      </c>
      <c r="G634">
        <v>36</v>
      </c>
      <c r="H634">
        <v>121948</v>
      </c>
      <c r="I634">
        <v>611</v>
      </c>
      <c r="J634" t="s">
        <v>18</v>
      </c>
      <c r="K634">
        <v>23.5</v>
      </c>
      <c r="L634">
        <v>25.7</v>
      </c>
      <c r="M634" t="s">
        <v>19</v>
      </c>
      <c r="N634" s="7">
        <v>45364</v>
      </c>
      <c r="O634" t="str" cm="1">
        <f t="array" ref="O634">_xlfn.IFS(tbl_loans_clean[[#This Row],[Credit_Score]]&lt;650,"580-649",tbl_loans_clean[[#This Row],[Credit_Score]]&lt;700,"650-699",tbl_loans_clean[[#This Row],[Credit_Score]]&lt;750,"700-749",TRUE,"750+")</f>
        <v>580-649</v>
      </c>
    </row>
    <row r="635" spans="1:15" x14ac:dyDescent="0.35">
      <c r="A635" t="s">
        <v>550</v>
      </c>
      <c r="B635" t="s">
        <v>71</v>
      </c>
      <c r="C635" t="s">
        <v>22</v>
      </c>
      <c r="D635" t="s">
        <v>17</v>
      </c>
      <c r="E635">
        <v>357414</v>
      </c>
      <c r="F635">
        <v>12.67</v>
      </c>
      <c r="G635">
        <v>36</v>
      </c>
      <c r="H635">
        <v>67255</v>
      </c>
      <c r="I635">
        <v>669</v>
      </c>
      <c r="J635" t="s">
        <v>18</v>
      </c>
      <c r="K635">
        <v>7</v>
      </c>
      <c r="L635">
        <v>37.4</v>
      </c>
      <c r="M635" t="s">
        <v>55</v>
      </c>
      <c r="N635" s="7">
        <v>45365</v>
      </c>
      <c r="O635" t="str" cm="1">
        <f t="array" ref="O635">_xlfn.IFS(tbl_loans_clean[[#This Row],[Credit_Score]]&lt;650,"580-649",tbl_loans_clean[[#This Row],[Credit_Score]]&lt;700,"650-699",tbl_loans_clean[[#This Row],[Credit_Score]]&lt;750,"700-749",TRUE,"750+")</f>
        <v>650-699</v>
      </c>
    </row>
    <row r="636" spans="1:15" x14ac:dyDescent="0.35">
      <c r="A636" t="s">
        <v>425</v>
      </c>
      <c r="B636" t="s">
        <v>37</v>
      </c>
      <c r="C636" t="s">
        <v>34</v>
      </c>
      <c r="D636" t="s">
        <v>32</v>
      </c>
      <c r="E636">
        <v>127118</v>
      </c>
      <c r="F636">
        <v>5.93</v>
      </c>
      <c r="G636">
        <v>24</v>
      </c>
      <c r="H636">
        <v>73203</v>
      </c>
      <c r="I636">
        <v>728</v>
      </c>
      <c r="J636" t="s">
        <v>18</v>
      </c>
      <c r="K636">
        <v>8.4</v>
      </c>
      <c r="L636">
        <v>43.9</v>
      </c>
      <c r="M636" t="s">
        <v>19</v>
      </c>
      <c r="N636" s="7">
        <v>45367</v>
      </c>
      <c r="O636" t="str" cm="1">
        <f t="array" ref="O636">_xlfn.IFS(tbl_loans_clean[[#This Row],[Credit_Score]]&lt;650,"580-649",tbl_loans_clean[[#This Row],[Credit_Score]]&lt;700,"650-699",tbl_loans_clean[[#This Row],[Credit_Score]]&lt;750,"700-749",TRUE,"750+")</f>
        <v>700-749</v>
      </c>
    </row>
    <row r="637" spans="1:15" x14ac:dyDescent="0.35">
      <c r="A637" t="s">
        <v>675</v>
      </c>
      <c r="B637" t="s">
        <v>15</v>
      </c>
      <c r="C637" t="s">
        <v>16</v>
      </c>
      <c r="D637" t="s">
        <v>43</v>
      </c>
      <c r="E637">
        <v>685089</v>
      </c>
      <c r="F637">
        <v>10.68</v>
      </c>
      <c r="G637">
        <v>300</v>
      </c>
      <c r="H637">
        <v>198939</v>
      </c>
      <c r="I637">
        <v>648</v>
      </c>
      <c r="J637" t="s">
        <v>18</v>
      </c>
      <c r="K637">
        <v>23.3</v>
      </c>
      <c r="L637">
        <v>38.700000000000003</v>
      </c>
      <c r="M637" t="s">
        <v>19</v>
      </c>
      <c r="N637" s="7">
        <v>45370</v>
      </c>
      <c r="O637" t="str" cm="1">
        <f t="array" ref="O637">_xlfn.IFS(tbl_loans_clean[[#This Row],[Credit_Score]]&lt;650,"580-649",tbl_loans_clean[[#This Row],[Credit_Score]]&lt;700,"650-699",tbl_loans_clean[[#This Row],[Credit_Score]]&lt;750,"700-749",TRUE,"750+")</f>
        <v>580-649</v>
      </c>
    </row>
    <row r="638" spans="1:15" x14ac:dyDescent="0.35">
      <c r="A638" t="s">
        <v>743</v>
      </c>
      <c r="B638" t="s">
        <v>30</v>
      </c>
      <c r="C638" t="s">
        <v>22</v>
      </c>
      <c r="D638" t="s">
        <v>45</v>
      </c>
      <c r="E638">
        <v>152745</v>
      </c>
      <c r="F638">
        <v>5.0199999999999996</v>
      </c>
      <c r="G638">
        <v>24</v>
      </c>
      <c r="H638">
        <v>179285</v>
      </c>
      <c r="I638">
        <v>783</v>
      </c>
      <c r="J638" t="s">
        <v>18</v>
      </c>
      <c r="K638">
        <v>0.2</v>
      </c>
      <c r="L638">
        <v>25</v>
      </c>
      <c r="M638" t="s">
        <v>23</v>
      </c>
      <c r="N638" s="7">
        <v>45372</v>
      </c>
      <c r="O638" t="str" cm="1">
        <f t="array" ref="O638">_xlfn.IFS(tbl_loans_clean[[#This Row],[Credit_Score]]&lt;650,"580-649",tbl_loans_clean[[#This Row],[Credit_Score]]&lt;700,"650-699",tbl_loans_clean[[#This Row],[Credit_Score]]&lt;750,"700-749",TRUE,"750+")</f>
        <v>750+</v>
      </c>
    </row>
    <row r="639" spans="1:15" x14ac:dyDescent="0.35">
      <c r="A639" t="s">
        <v>729</v>
      </c>
      <c r="B639" t="s">
        <v>30</v>
      </c>
      <c r="C639" t="s">
        <v>16</v>
      </c>
      <c r="D639" t="s">
        <v>17</v>
      </c>
      <c r="E639">
        <v>443242</v>
      </c>
      <c r="F639">
        <v>5.13</v>
      </c>
      <c r="G639">
        <v>48</v>
      </c>
      <c r="H639">
        <v>180117</v>
      </c>
      <c r="I639">
        <v>596</v>
      </c>
      <c r="J639" t="s">
        <v>26</v>
      </c>
      <c r="K639">
        <v>7.8</v>
      </c>
      <c r="L639">
        <v>11.1</v>
      </c>
      <c r="M639" t="s">
        <v>55</v>
      </c>
      <c r="N639" s="7">
        <v>45374</v>
      </c>
      <c r="O639" t="str" cm="1">
        <f t="array" ref="O639">_xlfn.IFS(tbl_loans_clean[[#This Row],[Credit_Score]]&lt;650,"580-649",tbl_loans_clean[[#This Row],[Credit_Score]]&lt;700,"650-699",tbl_loans_clean[[#This Row],[Credit_Score]]&lt;750,"700-749",TRUE,"750+")</f>
        <v>580-649</v>
      </c>
    </row>
    <row r="640" spans="1:15" x14ac:dyDescent="0.35">
      <c r="A640" t="s">
        <v>275</v>
      </c>
      <c r="B640" t="s">
        <v>30</v>
      </c>
      <c r="C640" t="s">
        <v>22</v>
      </c>
      <c r="D640" t="s">
        <v>38</v>
      </c>
      <c r="E640">
        <v>645473</v>
      </c>
      <c r="F640">
        <v>9.4499999999999993</v>
      </c>
      <c r="G640">
        <v>60</v>
      </c>
      <c r="H640">
        <v>167418</v>
      </c>
      <c r="I640">
        <v>598</v>
      </c>
      <c r="J640" t="s">
        <v>18</v>
      </c>
      <c r="K640">
        <v>23.8</v>
      </c>
      <c r="L640">
        <v>29.8</v>
      </c>
      <c r="M640" t="s">
        <v>48</v>
      </c>
      <c r="N640" s="7">
        <v>45375</v>
      </c>
      <c r="O640" t="str" cm="1">
        <f t="array" ref="O640">_xlfn.IFS(tbl_loans_clean[[#This Row],[Credit_Score]]&lt;650,"580-649",tbl_loans_clean[[#This Row],[Credit_Score]]&lt;700,"650-699",tbl_loans_clean[[#This Row],[Credit_Score]]&lt;750,"700-749",TRUE,"750+")</f>
        <v>580-649</v>
      </c>
    </row>
    <row r="641" spans="1:15" x14ac:dyDescent="0.35">
      <c r="A641" t="s">
        <v>66</v>
      </c>
      <c r="B641" t="s">
        <v>30</v>
      </c>
      <c r="C641" t="s">
        <v>22</v>
      </c>
      <c r="D641" t="s">
        <v>32</v>
      </c>
      <c r="E641">
        <v>388100</v>
      </c>
      <c r="F641">
        <v>12.98</v>
      </c>
      <c r="G641">
        <v>24</v>
      </c>
      <c r="H641">
        <v>82383</v>
      </c>
      <c r="I641">
        <v>684</v>
      </c>
      <c r="J641" t="s">
        <v>18</v>
      </c>
      <c r="K641">
        <v>14.1</v>
      </c>
      <c r="L641">
        <v>38.6</v>
      </c>
      <c r="M641" t="s">
        <v>23</v>
      </c>
      <c r="N641" s="7">
        <v>45376</v>
      </c>
      <c r="O641" t="str" cm="1">
        <f t="array" ref="O641">_xlfn.IFS(tbl_loans_clean[[#This Row],[Credit_Score]]&lt;650,"580-649",tbl_loans_clean[[#This Row],[Credit_Score]]&lt;700,"650-699",tbl_loans_clean[[#This Row],[Credit_Score]]&lt;750,"700-749",TRUE,"750+")</f>
        <v>650-699</v>
      </c>
    </row>
    <row r="642" spans="1:15" x14ac:dyDescent="0.35">
      <c r="A642" t="s">
        <v>96</v>
      </c>
      <c r="B642" t="s">
        <v>30</v>
      </c>
      <c r="C642" t="s">
        <v>22</v>
      </c>
      <c r="D642" t="s">
        <v>32</v>
      </c>
      <c r="E642">
        <v>138004</v>
      </c>
      <c r="F642">
        <v>10.95</v>
      </c>
      <c r="G642">
        <v>48</v>
      </c>
      <c r="H642">
        <v>182226</v>
      </c>
      <c r="I642">
        <v>631</v>
      </c>
      <c r="J642" t="s">
        <v>18</v>
      </c>
      <c r="K642">
        <v>13.1</v>
      </c>
      <c r="L642">
        <v>43.3</v>
      </c>
      <c r="M642" t="s">
        <v>23</v>
      </c>
      <c r="N642" s="7">
        <v>45376</v>
      </c>
      <c r="O642" t="str" cm="1">
        <f t="array" ref="O642">_xlfn.IFS(tbl_loans_clean[[#This Row],[Credit_Score]]&lt;650,"580-649",tbl_loans_clean[[#This Row],[Credit_Score]]&lt;700,"650-699",tbl_loans_clean[[#This Row],[Credit_Score]]&lt;750,"700-749",TRUE,"750+")</f>
        <v>580-649</v>
      </c>
    </row>
    <row r="643" spans="1:15" x14ac:dyDescent="0.35">
      <c r="A643" t="s">
        <v>199</v>
      </c>
      <c r="B643" t="s">
        <v>30</v>
      </c>
      <c r="C643" t="s">
        <v>22</v>
      </c>
      <c r="D643" t="s">
        <v>17</v>
      </c>
      <c r="E643">
        <v>335170</v>
      </c>
      <c r="F643">
        <v>11.48</v>
      </c>
      <c r="G643">
        <v>300</v>
      </c>
      <c r="H643">
        <v>73436</v>
      </c>
      <c r="I643">
        <v>759</v>
      </c>
      <c r="J643" t="s">
        <v>18</v>
      </c>
      <c r="K643">
        <v>1.2</v>
      </c>
      <c r="L643">
        <v>26.3</v>
      </c>
      <c r="M643" t="s">
        <v>55</v>
      </c>
      <c r="N643" s="7">
        <v>45379</v>
      </c>
      <c r="O643" t="str" cm="1">
        <f t="array" ref="O643">_xlfn.IFS(tbl_loans_clean[[#This Row],[Credit_Score]]&lt;650,"580-649",tbl_loans_clean[[#This Row],[Credit_Score]]&lt;700,"650-699",tbl_loans_clean[[#This Row],[Credit_Score]]&lt;750,"700-749",TRUE,"750+")</f>
        <v>750+</v>
      </c>
    </row>
    <row r="644" spans="1:15" x14ac:dyDescent="0.35">
      <c r="A644" t="s">
        <v>283</v>
      </c>
      <c r="B644" t="s">
        <v>83</v>
      </c>
      <c r="C644" t="s">
        <v>22</v>
      </c>
      <c r="D644" t="s">
        <v>32</v>
      </c>
      <c r="E644">
        <v>320261</v>
      </c>
      <c r="F644">
        <v>8.16</v>
      </c>
      <c r="G644">
        <v>24</v>
      </c>
      <c r="H644">
        <v>203220</v>
      </c>
      <c r="I644">
        <v>710</v>
      </c>
      <c r="J644" t="s">
        <v>26</v>
      </c>
      <c r="K644">
        <v>24.2</v>
      </c>
      <c r="L644">
        <v>14.4</v>
      </c>
      <c r="M644" t="s">
        <v>19</v>
      </c>
      <c r="N644" s="7">
        <v>45380</v>
      </c>
      <c r="O644" t="str" cm="1">
        <f t="array" ref="O644">_xlfn.IFS(tbl_loans_clean[[#This Row],[Credit_Score]]&lt;650,"580-649",tbl_loans_clean[[#This Row],[Credit_Score]]&lt;700,"650-699",tbl_loans_clean[[#This Row],[Credit_Score]]&lt;750,"700-749",TRUE,"750+")</f>
        <v>700-749</v>
      </c>
    </row>
    <row r="645" spans="1:15" x14ac:dyDescent="0.35">
      <c r="A645" t="s">
        <v>677</v>
      </c>
      <c r="B645" t="s">
        <v>15</v>
      </c>
      <c r="C645" t="s">
        <v>22</v>
      </c>
      <c r="D645" t="s">
        <v>45</v>
      </c>
      <c r="E645">
        <v>35099</v>
      </c>
      <c r="F645">
        <v>9.65</v>
      </c>
      <c r="G645">
        <v>120</v>
      </c>
      <c r="H645">
        <v>127694</v>
      </c>
      <c r="I645">
        <v>764</v>
      </c>
      <c r="J645" t="s">
        <v>18</v>
      </c>
      <c r="K645">
        <v>9</v>
      </c>
      <c r="L645">
        <v>20.5</v>
      </c>
      <c r="M645" t="s">
        <v>23</v>
      </c>
      <c r="N645" s="7">
        <v>45382</v>
      </c>
      <c r="O645" t="str" cm="1">
        <f t="array" ref="O645">_xlfn.IFS(tbl_loans_clean[[#This Row],[Credit_Score]]&lt;650,"580-649",tbl_loans_clean[[#This Row],[Credit_Score]]&lt;700,"650-699",tbl_loans_clean[[#This Row],[Credit_Score]]&lt;750,"700-749",TRUE,"750+")</f>
        <v>750+</v>
      </c>
    </row>
    <row r="646" spans="1:15" x14ac:dyDescent="0.35">
      <c r="A646" t="s">
        <v>766</v>
      </c>
      <c r="B646" t="s">
        <v>15</v>
      </c>
      <c r="C646" t="s">
        <v>22</v>
      </c>
      <c r="D646" t="s">
        <v>43</v>
      </c>
      <c r="E646">
        <v>116435</v>
      </c>
      <c r="F646">
        <v>12.54</v>
      </c>
      <c r="G646">
        <v>36</v>
      </c>
      <c r="H646">
        <v>148494</v>
      </c>
      <c r="I646">
        <v>792</v>
      </c>
      <c r="J646" t="s">
        <v>18</v>
      </c>
      <c r="K646">
        <v>18.7</v>
      </c>
      <c r="L646">
        <v>21.6</v>
      </c>
      <c r="M646" t="s">
        <v>19</v>
      </c>
      <c r="N646" s="7">
        <v>45382</v>
      </c>
      <c r="O646" t="str" cm="1">
        <f t="array" ref="O646">_xlfn.IFS(tbl_loans_clean[[#This Row],[Credit_Score]]&lt;650,"580-649",tbl_loans_clean[[#This Row],[Credit_Score]]&lt;700,"650-699",tbl_loans_clean[[#This Row],[Credit_Score]]&lt;750,"700-749",TRUE,"750+")</f>
        <v>750+</v>
      </c>
    </row>
    <row r="647" spans="1:15" x14ac:dyDescent="0.35">
      <c r="A647" t="s">
        <v>115</v>
      </c>
      <c r="B647" t="s">
        <v>28</v>
      </c>
      <c r="C647" t="s">
        <v>22</v>
      </c>
      <c r="D647" t="s">
        <v>38</v>
      </c>
      <c r="E647">
        <v>398574</v>
      </c>
      <c r="F647">
        <v>5.23</v>
      </c>
      <c r="G647">
        <v>24</v>
      </c>
      <c r="H647">
        <v>112577</v>
      </c>
      <c r="I647">
        <v>705</v>
      </c>
      <c r="J647" t="s">
        <v>26</v>
      </c>
      <c r="K647">
        <v>23.8</v>
      </c>
      <c r="L647">
        <v>10.8</v>
      </c>
      <c r="M647" t="s">
        <v>55</v>
      </c>
      <c r="N647" s="7">
        <v>45385</v>
      </c>
      <c r="O647" t="str" cm="1">
        <f t="array" ref="O647">_xlfn.IFS(tbl_loans_clean[[#This Row],[Credit_Score]]&lt;650,"580-649",tbl_loans_clean[[#This Row],[Credit_Score]]&lt;700,"650-699",tbl_loans_clean[[#This Row],[Credit_Score]]&lt;750,"700-749",TRUE,"750+")</f>
        <v>700-749</v>
      </c>
    </row>
    <row r="648" spans="1:15" x14ac:dyDescent="0.35">
      <c r="A648" t="s">
        <v>134</v>
      </c>
      <c r="B648" t="s">
        <v>15</v>
      </c>
      <c r="C648" t="s">
        <v>22</v>
      </c>
      <c r="D648" t="s">
        <v>17</v>
      </c>
      <c r="E648">
        <v>456558</v>
      </c>
      <c r="F648">
        <v>13.95</v>
      </c>
      <c r="G648">
        <v>60</v>
      </c>
      <c r="H648">
        <v>127956</v>
      </c>
      <c r="I648">
        <v>747</v>
      </c>
      <c r="J648" t="s">
        <v>18</v>
      </c>
      <c r="K648">
        <v>1.8</v>
      </c>
      <c r="L648">
        <v>36.799999999999997</v>
      </c>
      <c r="M648" t="s">
        <v>23</v>
      </c>
      <c r="N648" s="7">
        <v>45385</v>
      </c>
      <c r="O648" t="str" cm="1">
        <f t="array" ref="O648">_xlfn.IFS(tbl_loans_clean[[#This Row],[Credit_Score]]&lt;650,"580-649",tbl_loans_clean[[#This Row],[Credit_Score]]&lt;700,"650-699",tbl_loans_clean[[#This Row],[Credit_Score]]&lt;750,"700-749",TRUE,"750+")</f>
        <v>700-749</v>
      </c>
    </row>
    <row r="649" spans="1:15" x14ac:dyDescent="0.35">
      <c r="A649" t="s">
        <v>307</v>
      </c>
      <c r="B649" t="s">
        <v>25</v>
      </c>
      <c r="C649" t="s">
        <v>16</v>
      </c>
      <c r="D649" t="s">
        <v>73</v>
      </c>
      <c r="E649">
        <v>554523</v>
      </c>
      <c r="F649">
        <v>10.07</v>
      </c>
      <c r="G649">
        <v>300</v>
      </c>
      <c r="H649">
        <v>89822</v>
      </c>
      <c r="I649">
        <v>650</v>
      </c>
      <c r="J649" t="s">
        <v>18</v>
      </c>
      <c r="K649">
        <v>18.2</v>
      </c>
      <c r="L649">
        <v>34.200000000000003</v>
      </c>
      <c r="M649" t="s">
        <v>23</v>
      </c>
      <c r="N649" s="7">
        <v>45386</v>
      </c>
      <c r="O649" t="str" cm="1">
        <f t="array" ref="O649">_xlfn.IFS(tbl_loans_clean[[#This Row],[Credit_Score]]&lt;650,"580-649",tbl_loans_clean[[#This Row],[Credit_Score]]&lt;700,"650-699",tbl_loans_clean[[#This Row],[Credit_Score]]&lt;750,"700-749",TRUE,"750+")</f>
        <v>650-699</v>
      </c>
    </row>
    <row r="650" spans="1:15" x14ac:dyDescent="0.35">
      <c r="A650" t="s">
        <v>431</v>
      </c>
      <c r="B650" t="s">
        <v>25</v>
      </c>
      <c r="C650" t="s">
        <v>16</v>
      </c>
      <c r="D650" t="s">
        <v>38</v>
      </c>
      <c r="E650">
        <v>314735</v>
      </c>
      <c r="F650">
        <v>4.07</v>
      </c>
      <c r="G650">
        <v>36</v>
      </c>
      <c r="H650">
        <v>70814</v>
      </c>
      <c r="I650">
        <v>708</v>
      </c>
      <c r="J650" t="s">
        <v>18</v>
      </c>
      <c r="K650">
        <v>19.899999999999999</v>
      </c>
      <c r="L650">
        <v>11</v>
      </c>
      <c r="M650" t="s">
        <v>19</v>
      </c>
      <c r="N650" s="7">
        <v>45386</v>
      </c>
      <c r="O650" t="str" cm="1">
        <f t="array" ref="O650">_xlfn.IFS(tbl_loans_clean[[#This Row],[Credit_Score]]&lt;650,"580-649",tbl_loans_clean[[#This Row],[Credit_Score]]&lt;700,"650-699",tbl_loans_clean[[#This Row],[Credit_Score]]&lt;750,"700-749",TRUE,"750+")</f>
        <v>700-749</v>
      </c>
    </row>
    <row r="651" spans="1:15" x14ac:dyDescent="0.35">
      <c r="A651" t="s">
        <v>473</v>
      </c>
      <c r="B651" t="s">
        <v>25</v>
      </c>
      <c r="C651" t="s">
        <v>22</v>
      </c>
      <c r="D651" t="s">
        <v>45</v>
      </c>
      <c r="E651">
        <v>271010</v>
      </c>
      <c r="F651">
        <v>12.75</v>
      </c>
      <c r="G651">
        <v>240</v>
      </c>
      <c r="H651">
        <v>109533</v>
      </c>
      <c r="I651">
        <v>667</v>
      </c>
      <c r="J651" t="s">
        <v>35</v>
      </c>
      <c r="K651">
        <v>7.7</v>
      </c>
      <c r="L651">
        <v>27.9</v>
      </c>
      <c r="M651" t="s">
        <v>23</v>
      </c>
      <c r="N651" s="7">
        <v>45386</v>
      </c>
      <c r="O651" t="str" cm="1">
        <f t="array" ref="O651">_xlfn.IFS(tbl_loans_clean[[#This Row],[Credit_Score]]&lt;650,"580-649",tbl_loans_clean[[#This Row],[Credit_Score]]&lt;700,"650-699",tbl_loans_clean[[#This Row],[Credit_Score]]&lt;750,"700-749",TRUE,"750+")</f>
        <v>650-699</v>
      </c>
    </row>
    <row r="652" spans="1:15" x14ac:dyDescent="0.35">
      <c r="A652" t="s">
        <v>711</v>
      </c>
      <c r="B652" t="s">
        <v>30</v>
      </c>
      <c r="C652" t="s">
        <v>16</v>
      </c>
      <c r="D652" t="s">
        <v>32</v>
      </c>
      <c r="E652">
        <v>79601</v>
      </c>
      <c r="F652">
        <v>8.69</v>
      </c>
      <c r="G652">
        <v>24</v>
      </c>
      <c r="H652">
        <v>83192</v>
      </c>
      <c r="I652">
        <v>806</v>
      </c>
      <c r="J652" t="s">
        <v>18</v>
      </c>
      <c r="K652">
        <v>1.2</v>
      </c>
      <c r="L652">
        <v>45.2</v>
      </c>
      <c r="M652" t="s">
        <v>23</v>
      </c>
      <c r="N652" s="7">
        <v>45386</v>
      </c>
      <c r="O652" t="str" cm="1">
        <f t="array" ref="O652">_xlfn.IFS(tbl_loans_clean[[#This Row],[Credit_Score]]&lt;650,"580-649",tbl_loans_clean[[#This Row],[Credit_Score]]&lt;700,"650-699",tbl_loans_clean[[#This Row],[Credit_Score]]&lt;750,"700-749",TRUE,"750+")</f>
        <v>750+</v>
      </c>
    </row>
    <row r="653" spans="1:15" x14ac:dyDescent="0.35">
      <c r="A653" t="s">
        <v>682</v>
      </c>
      <c r="B653" t="s">
        <v>30</v>
      </c>
      <c r="C653" t="s">
        <v>34</v>
      </c>
      <c r="D653" t="s">
        <v>38</v>
      </c>
      <c r="E653">
        <v>563969</v>
      </c>
      <c r="F653">
        <v>12.53</v>
      </c>
      <c r="G653">
        <v>300</v>
      </c>
      <c r="H653">
        <v>96968</v>
      </c>
      <c r="I653">
        <v>726</v>
      </c>
      <c r="J653" t="s">
        <v>18</v>
      </c>
      <c r="K653">
        <v>23.3</v>
      </c>
      <c r="L653">
        <v>18.3</v>
      </c>
      <c r="M653" t="s">
        <v>23</v>
      </c>
      <c r="N653" s="7">
        <v>45387</v>
      </c>
      <c r="O653" t="str" cm="1">
        <f t="array" ref="O653">_xlfn.IFS(tbl_loans_clean[[#This Row],[Credit_Score]]&lt;650,"580-649",tbl_loans_clean[[#This Row],[Credit_Score]]&lt;700,"650-699",tbl_loans_clean[[#This Row],[Credit_Score]]&lt;750,"700-749",TRUE,"750+")</f>
        <v>700-749</v>
      </c>
    </row>
    <row r="654" spans="1:15" x14ac:dyDescent="0.35">
      <c r="A654" t="s">
        <v>531</v>
      </c>
      <c r="B654" t="s">
        <v>83</v>
      </c>
      <c r="C654" t="s">
        <v>22</v>
      </c>
      <c r="D654" t="s">
        <v>32</v>
      </c>
      <c r="E654">
        <v>458830</v>
      </c>
      <c r="F654">
        <v>5.09</v>
      </c>
      <c r="G654">
        <v>120</v>
      </c>
      <c r="H654">
        <v>165844</v>
      </c>
      <c r="I654">
        <v>807</v>
      </c>
      <c r="J654" t="s">
        <v>18</v>
      </c>
      <c r="K654">
        <v>2.8</v>
      </c>
      <c r="L654">
        <v>10.4</v>
      </c>
      <c r="M654" t="s">
        <v>19</v>
      </c>
      <c r="N654" s="7">
        <v>45388</v>
      </c>
      <c r="O654" t="str" cm="1">
        <f t="array" ref="O654">_xlfn.IFS(tbl_loans_clean[[#This Row],[Credit_Score]]&lt;650,"580-649",tbl_loans_clean[[#This Row],[Credit_Score]]&lt;700,"650-699",tbl_loans_clean[[#This Row],[Credit_Score]]&lt;750,"700-749",TRUE,"750+")</f>
        <v>750+</v>
      </c>
    </row>
    <row r="655" spans="1:15" x14ac:dyDescent="0.35">
      <c r="A655" t="s">
        <v>609</v>
      </c>
      <c r="B655" t="s">
        <v>15</v>
      </c>
      <c r="C655" t="s">
        <v>34</v>
      </c>
      <c r="D655" t="s">
        <v>17</v>
      </c>
      <c r="E655">
        <v>55081</v>
      </c>
      <c r="F655">
        <v>6.58</v>
      </c>
      <c r="G655">
        <v>240</v>
      </c>
      <c r="H655">
        <v>35987</v>
      </c>
      <c r="I655">
        <v>825</v>
      </c>
      <c r="J655" t="s">
        <v>18</v>
      </c>
      <c r="K655">
        <v>17.7</v>
      </c>
      <c r="L655">
        <v>25.5</v>
      </c>
      <c r="M655" t="s">
        <v>23</v>
      </c>
      <c r="N655" s="7">
        <v>45388</v>
      </c>
      <c r="O655" t="str" cm="1">
        <f t="array" ref="O655">_xlfn.IFS(tbl_loans_clean[[#This Row],[Credit_Score]]&lt;650,"580-649",tbl_loans_clean[[#This Row],[Credit_Score]]&lt;700,"650-699",tbl_loans_clean[[#This Row],[Credit_Score]]&lt;750,"700-749",TRUE,"750+")</f>
        <v>750+</v>
      </c>
    </row>
    <row r="656" spans="1:15" x14ac:dyDescent="0.35">
      <c r="A656" t="s">
        <v>316</v>
      </c>
      <c r="B656" t="s">
        <v>15</v>
      </c>
      <c r="C656" t="s">
        <v>34</v>
      </c>
      <c r="D656" t="s">
        <v>38</v>
      </c>
      <c r="E656">
        <v>247717</v>
      </c>
      <c r="F656">
        <v>7.9</v>
      </c>
      <c r="G656">
        <v>300</v>
      </c>
      <c r="H656">
        <v>134719</v>
      </c>
      <c r="I656">
        <v>642</v>
      </c>
      <c r="J656" t="s">
        <v>18</v>
      </c>
      <c r="K656">
        <v>0.6</v>
      </c>
      <c r="L656">
        <v>16.600000000000001</v>
      </c>
      <c r="M656" t="s">
        <v>23</v>
      </c>
      <c r="N656" s="7">
        <v>45389</v>
      </c>
      <c r="O656" t="str" cm="1">
        <f t="array" ref="O656">_xlfn.IFS(tbl_loans_clean[[#This Row],[Credit_Score]]&lt;650,"580-649",tbl_loans_clean[[#This Row],[Credit_Score]]&lt;700,"650-699",tbl_loans_clean[[#This Row],[Credit_Score]]&lt;750,"700-749",TRUE,"750+")</f>
        <v>580-649</v>
      </c>
    </row>
    <row r="657" spans="1:15" x14ac:dyDescent="0.35">
      <c r="A657" t="s">
        <v>476</v>
      </c>
      <c r="B657" t="s">
        <v>30</v>
      </c>
      <c r="C657" t="s">
        <v>16</v>
      </c>
      <c r="D657" t="s">
        <v>45</v>
      </c>
      <c r="E657">
        <v>600642</v>
      </c>
      <c r="F657">
        <v>3.96</v>
      </c>
      <c r="G657">
        <v>300</v>
      </c>
      <c r="H657">
        <v>50837</v>
      </c>
      <c r="I657">
        <v>751</v>
      </c>
      <c r="J657" t="s">
        <v>18</v>
      </c>
      <c r="K657">
        <v>9.3000000000000007</v>
      </c>
      <c r="L657">
        <v>24.8</v>
      </c>
      <c r="M657" t="s">
        <v>23</v>
      </c>
      <c r="N657" s="7">
        <v>45390</v>
      </c>
      <c r="O657" t="str" cm="1">
        <f t="array" ref="O657">_xlfn.IFS(tbl_loans_clean[[#This Row],[Credit_Score]]&lt;650,"580-649",tbl_loans_clean[[#This Row],[Credit_Score]]&lt;700,"650-699",tbl_loans_clean[[#This Row],[Credit_Score]]&lt;750,"700-749",TRUE,"750+")</f>
        <v>750+</v>
      </c>
    </row>
    <row r="658" spans="1:15" x14ac:dyDescent="0.35">
      <c r="A658" t="s">
        <v>182</v>
      </c>
      <c r="B658" t="s">
        <v>30</v>
      </c>
      <c r="C658" t="s">
        <v>16</v>
      </c>
      <c r="D658" t="s">
        <v>38</v>
      </c>
      <c r="E658">
        <v>547642</v>
      </c>
      <c r="F658">
        <v>3.3</v>
      </c>
      <c r="G658">
        <v>48</v>
      </c>
      <c r="H658">
        <v>123790</v>
      </c>
      <c r="I658">
        <v>614</v>
      </c>
      <c r="J658" t="s">
        <v>35</v>
      </c>
      <c r="K658">
        <v>17.3</v>
      </c>
      <c r="L658">
        <v>15.1</v>
      </c>
      <c r="M658" t="s">
        <v>23</v>
      </c>
      <c r="N658" s="7">
        <v>45392</v>
      </c>
      <c r="O658" t="str" cm="1">
        <f t="array" ref="O658">_xlfn.IFS(tbl_loans_clean[[#This Row],[Credit_Score]]&lt;650,"580-649",tbl_loans_clean[[#This Row],[Credit_Score]]&lt;700,"650-699",tbl_loans_clean[[#This Row],[Credit_Score]]&lt;750,"700-749",TRUE,"750+")</f>
        <v>580-649</v>
      </c>
    </row>
    <row r="659" spans="1:15" x14ac:dyDescent="0.35">
      <c r="A659" t="s">
        <v>277</v>
      </c>
      <c r="B659" t="s">
        <v>30</v>
      </c>
      <c r="C659" t="s">
        <v>22</v>
      </c>
      <c r="D659" t="s">
        <v>17</v>
      </c>
      <c r="E659">
        <v>461887</v>
      </c>
      <c r="F659">
        <v>5.39</v>
      </c>
      <c r="G659">
        <v>300</v>
      </c>
      <c r="H659">
        <v>176725</v>
      </c>
      <c r="I659">
        <v>796</v>
      </c>
      <c r="J659" t="s">
        <v>18</v>
      </c>
      <c r="K659">
        <v>10.6</v>
      </c>
      <c r="L659">
        <v>45.9</v>
      </c>
      <c r="M659" t="s">
        <v>23</v>
      </c>
      <c r="N659" s="7">
        <v>45392</v>
      </c>
      <c r="O659" t="str" cm="1">
        <f t="array" ref="O659">_xlfn.IFS(tbl_loans_clean[[#This Row],[Credit_Score]]&lt;650,"580-649",tbl_loans_clean[[#This Row],[Credit_Score]]&lt;700,"650-699",tbl_loans_clean[[#This Row],[Credit_Score]]&lt;750,"700-749",TRUE,"750+")</f>
        <v>750+</v>
      </c>
    </row>
    <row r="660" spans="1:15" x14ac:dyDescent="0.35">
      <c r="A660" t="s">
        <v>460</v>
      </c>
      <c r="B660" t="s">
        <v>28</v>
      </c>
      <c r="C660" t="s">
        <v>16</v>
      </c>
      <c r="D660" t="s">
        <v>17</v>
      </c>
      <c r="E660">
        <v>684447</v>
      </c>
      <c r="F660">
        <v>3.58</v>
      </c>
      <c r="G660">
        <v>240</v>
      </c>
      <c r="H660">
        <v>162034</v>
      </c>
      <c r="I660">
        <v>811</v>
      </c>
      <c r="J660" t="s">
        <v>18</v>
      </c>
      <c r="K660">
        <v>8.6</v>
      </c>
      <c r="L660">
        <v>40.700000000000003</v>
      </c>
      <c r="M660" t="s">
        <v>23</v>
      </c>
      <c r="N660" s="7">
        <v>45393</v>
      </c>
      <c r="O660" t="str" cm="1">
        <f t="array" ref="O660">_xlfn.IFS(tbl_loans_clean[[#This Row],[Credit_Score]]&lt;650,"580-649",tbl_loans_clean[[#This Row],[Credit_Score]]&lt;700,"650-699",tbl_loans_clean[[#This Row],[Credit_Score]]&lt;750,"700-749",TRUE,"750+")</f>
        <v>750+</v>
      </c>
    </row>
    <row r="661" spans="1:15" x14ac:dyDescent="0.35">
      <c r="A661" t="s">
        <v>760</v>
      </c>
      <c r="B661" t="s">
        <v>30</v>
      </c>
      <c r="C661" t="s">
        <v>22</v>
      </c>
      <c r="D661" t="s">
        <v>32</v>
      </c>
      <c r="E661">
        <v>352220</v>
      </c>
      <c r="F661">
        <v>10.85</v>
      </c>
      <c r="G661">
        <v>12</v>
      </c>
      <c r="H661">
        <v>121922</v>
      </c>
      <c r="I661">
        <v>844</v>
      </c>
      <c r="J661" t="s">
        <v>18</v>
      </c>
      <c r="K661">
        <v>5</v>
      </c>
      <c r="L661">
        <v>28.2</v>
      </c>
      <c r="M661" t="s">
        <v>23</v>
      </c>
      <c r="N661" s="7">
        <v>45393</v>
      </c>
      <c r="O661" t="str" cm="1">
        <f t="array" ref="O661">_xlfn.IFS(tbl_loans_clean[[#This Row],[Credit_Score]]&lt;650,"580-649",tbl_loans_clean[[#This Row],[Credit_Score]]&lt;700,"650-699",tbl_loans_clean[[#This Row],[Credit_Score]]&lt;750,"700-749",TRUE,"750+")</f>
        <v>750+</v>
      </c>
    </row>
    <row r="662" spans="1:15" x14ac:dyDescent="0.35">
      <c r="A662" t="s">
        <v>726</v>
      </c>
      <c r="B662" t="s">
        <v>71</v>
      </c>
      <c r="C662" t="s">
        <v>22</v>
      </c>
      <c r="D662" t="s">
        <v>17</v>
      </c>
      <c r="E662">
        <v>691915</v>
      </c>
      <c r="F662">
        <v>11.89</v>
      </c>
      <c r="G662">
        <v>48</v>
      </c>
      <c r="H662">
        <v>182546</v>
      </c>
      <c r="I662">
        <v>770</v>
      </c>
      <c r="J662" t="s">
        <v>18</v>
      </c>
      <c r="K662">
        <v>7.9</v>
      </c>
      <c r="L662">
        <v>44.6</v>
      </c>
      <c r="M662" t="s">
        <v>23</v>
      </c>
      <c r="N662" s="7">
        <v>45394</v>
      </c>
      <c r="O662" t="str" cm="1">
        <f t="array" ref="O662">_xlfn.IFS(tbl_loans_clean[[#This Row],[Credit_Score]]&lt;650,"580-649",tbl_loans_clean[[#This Row],[Credit_Score]]&lt;700,"650-699",tbl_loans_clean[[#This Row],[Credit_Score]]&lt;750,"700-749",TRUE,"750+")</f>
        <v>750+</v>
      </c>
    </row>
    <row r="663" spans="1:15" x14ac:dyDescent="0.35">
      <c r="A663" t="s">
        <v>180</v>
      </c>
      <c r="B663" t="s">
        <v>21</v>
      </c>
      <c r="C663" t="s">
        <v>16</v>
      </c>
      <c r="D663" t="s">
        <v>32</v>
      </c>
      <c r="E663">
        <v>492505</v>
      </c>
      <c r="F663">
        <v>8.11</v>
      </c>
      <c r="G663">
        <v>300</v>
      </c>
      <c r="H663">
        <v>55241</v>
      </c>
      <c r="I663">
        <v>787</v>
      </c>
      <c r="J663" t="s">
        <v>18</v>
      </c>
      <c r="K663">
        <v>10.3</v>
      </c>
      <c r="L663">
        <v>27.5</v>
      </c>
      <c r="M663" t="s">
        <v>23</v>
      </c>
      <c r="N663" s="7">
        <v>45395</v>
      </c>
      <c r="O663" t="str" cm="1">
        <f t="array" ref="O663">_xlfn.IFS(tbl_loans_clean[[#This Row],[Credit_Score]]&lt;650,"580-649",tbl_loans_clean[[#This Row],[Credit_Score]]&lt;700,"650-699",tbl_loans_clean[[#This Row],[Credit_Score]]&lt;750,"700-749",TRUE,"750+")</f>
        <v>750+</v>
      </c>
    </row>
    <row r="664" spans="1:15" x14ac:dyDescent="0.35">
      <c r="A664" t="s">
        <v>822</v>
      </c>
      <c r="B664" t="s">
        <v>28</v>
      </c>
      <c r="C664" t="s">
        <v>22</v>
      </c>
      <c r="D664" t="s">
        <v>43</v>
      </c>
      <c r="E664">
        <v>225357</v>
      </c>
      <c r="F664">
        <v>10.7</v>
      </c>
      <c r="G664">
        <v>240</v>
      </c>
      <c r="H664">
        <v>154519</v>
      </c>
      <c r="I664">
        <v>758</v>
      </c>
      <c r="J664" t="s">
        <v>18</v>
      </c>
      <c r="K664">
        <v>14.6</v>
      </c>
      <c r="L664">
        <v>16.2</v>
      </c>
      <c r="M664" t="s">
        <v>23</v>
      </c>
      <c r="N664" s="7">
        <v>45396</v>
      </c>
      <c r="O664" t="str" cm="1">
        <f t="array" ref="O664">_xlfn.IFS(tbl_loans_clean[[#This Row],[Credit_Score]]&lt;650,"580-649",tbl_loans_clean[[#This Row],[Credit_Score]]&lt;700,"650-699",tbl_loans_clean[[#This Row],[Credit_Score]]&lt;750,"700-749",TRUE,"750+")</f>
        <v>750+</v>
      </c>
    </row>
    <row r="665" spans="1:15" x14ac:dyDescent="0.35">
      <c r="A665" t="s">
        <v>576</v>
      </c>
      <c r="B665" t="s">
        <v>25</v>
      </c>
      <c r="C665" t="s">
        <v>34</v>
      </c>
      <c r="D665" t="s">
        <v>38</v>
      </c>
      <c r="E665">
        <v>572815</v>
      </c>
      <c r="F665">
        <v>6.44</v>
      </c>
      <c r="G665">
        <v>24</v>
      </c>
      <c r="H665">
        <v>207047</v>
      </c>
      <c r="I665">
        <v>722</v>
      </c>
      <c r="J665" t="s">
        <v>18</v>
      </c>
      <c r="K665">
        <v>23.5</v>
      </c>
      <c r="L665">
        <v>24.7</v>
      </c>
      <c r="M665" t="s">
        <v>48</v>
      </c>
      <c r="N665" s="7">
        <v>45398</v>
      </c>
      <c r="O665" t="str" cm="1">
        <f t="array" ref="O665">_xlfn.IFS(tbl_loans_clean[[#This Row],[Credit_Score]]&lt;650,"580-649",tbl_loans_clean[[#This Row],[Credit_Score]]&lt;700,"650-699",tbl_loans_clean[[#This Row],[Credit_Score]]&lt;750,"700-749",TRUE,"750+")</f>
        <v>700-749</v>
      </c>
    </row>
    <row r="666" spans="1:15" x14ac:dyDescent="0.35">
      <c r="A666" t="s">
        <v>461</v>
      </c>
      <c r="B666" t="s">
        <v>25</v>
      </c>
      <c r="C666" t="s">
        <v>22</v>
      </c>
      <c r="D666" t="s">
        <v>45</v>
      </c>
      <c r="E666">
        <v>17828</v>
      </c>
      <c r="F666">
        <v>13.13</v>
      </c>
      <c r="G666">
        <v>240</v>
      </c>
      <c r="H666">
        <v>172923</v>
      </c>
      <c r="I666">
        <v>643</v>
      </c>
      <c r="J666" t="s">
        <v>18</v>
      </c>
      <c r="K666">
        <v>20.2</v>
      </c>
      <c r="L666">
        <v>9.5</v>
      </c>
      <c r="M666" t="s">
        <v>23</v>
      </c>
      <c r="N666" s="7">
        <v>45399</v>
      </c>
      <c r="O666" t="str" cm="1">
        <f t="array" ref="O666">_xlfn.IFS(tbl_loans_clean[[#This Row],[Credit_Score]]&lt;650,"580-649",tbl_loans_clean[[#This Row],[Credit_Score]]&lt;700,"650-699",tbl_loans_clean[[#This Row],[Credit_Score]]&lt;750,"700-749",TRUE,"750+")</f>
        <v>580-649</v>
      </c>
    </row>
    <row r="667" spans="1:15" x14ac:dyDescent="0.35">
      <c r="A667" t="s">
        <v>447</v>
      </c>
      <c r="B667" t="s">
        <v>83</v>
      </c>
      <c r="C667" t="s">
        <v>16</v>
      </c>
      <c r="D667" t="s">
        <v>38</v>
      </c>
      <c r="E667">
        <v>198069</v>
      </c>
      <c r="F667">
        <v>9.93</v>
      </c>
      <c r="G667">
        <v>48</v>
      </c>
      <c r="H667">
        <v>202312</v>
      </c>
      <c r="I667">
        <v>618</v>
      </c>
      <c r="J667" t="s">
        <v>18</v>
      </c>
      <c r="K667">
        <v>8</v>
      </c>
      <c r="L667">
        <v>24.2</v>
      </c>
      <c r="M667" t="s">
        <v>48</v>
      </c>
      <c r="N667" s="7">
        <v>45400</v>
      </c>
      <c r="O667" t="str" cm="1">
        <f t="array" ref="O667">_xlfn.IFS(tbl_loans_clean[[#This Row],[Credit_Score]]&lt;650,"580-649",tbl_loans_clean[[#This Row],[Credit_Score]]&lt;700,"650-699",tbl_loans_clean[[#This Row],[Credit_Score]]&lt;750,"700-749",TRUE,"750+")</f>
        <v>580-649</v>
      </c>
    </row>
    <row r="668" spans="1:15" x14ac:dyDescent="0.35">
      <c r="A668" t="s">
        <v>533</v>
      </c>
      <c r="B668" t="s">
        <v>28</v>
      </c>
      <c r="C668" t="s">
        <v>22</v>
      </c>
      <c r="D668" t="s">
        <v>52</v>
      </c>
      <c r="E668">
        <v>431009</v>
      </c>
      <c r="F668">
        <v>11.01</v>
      </c>
      <c r="G668">
        <v>36</v>
      </c>
      <c r="H668">
        <v>182536</v>
      </c>
      <c r="I668">
        <v>644</v>
      </c>
      <c r="J668" t="s">
        <v>39</v>
      </c>
      <c r="K668">
        <v>21.5</v>
      </c>
      <c r="L668">
        <v>47.6</v>
      </c>
      <c r="M668" t="s">
        <v>23</v>
      </c>
      <c r="N668" s="7">
        <v>45400</v>
      </c>
      <c r="O668" t="str" cm="1">
        <f t="array" ref="O668">_xlfn.IFS(tbl_loans_clean[[#This Row],[Credit_Score]]&lt;650,"580-649",tbl_loans_clean[[#This Row],[Credit_Score]]&lt;700,"650-699",tbl_loans_clean[[#This Row],[Credit_Score]]&lt;750,"700-749",TRUE,"750+")</f>
        <v>580-649</v>
      </c>
    </row>
    <row r="669" spans="1:15" x14ac:dyDescent="0.35">
      <c r="A669" t="s">
        <v>333</v>
      </c>
      <c r="B669" t="s">
        <v>30</v>
      </c>
      <c r="C669" t="s">
        <v>16</v>
      </c>
      <c r="D669" t="s">
        <v>32</v>
      </c>
      <c r="E669">
        <v>446904</v>
      </c>
      <c r="F669">
        <v>5.53</v>
      </c>
      <c r="G669">
        <v>24</v>
      </c>
      <c r="H669">
        <v>105606</v>
      </c>
      <c r="I669">
        <v>666</v>
      </c>
      <c r="J669" t="s">
        <v>35</v>
      </c>
      <c r="K669">
        <v>6.7</v>
      </c>
      <c r="L669">
        <v>27.6</v>
      </c>
      <c r="M669" t="s">
        <v>23</v>
      </c>
      <c r="N669" s="7">
        <v>45403</v>
      </c>
      <c r="O669" t="str" cm="1">
        <f t="array" ref="O669">_xlfn.IFS(tbl_loans_clean[[#This Row],[Credit_Score]]&lt;650,"580-649",tbl_loans_clean[[#This Row],[Credit_Score]]&lt;700,"650-699",tbl_loans_clean[[#This Row],[Credit_Score]]&lt;750,"700-749",TRUE,"750+")</f>
        <v>650-699</v>
      </c>
    </row>
    <row r="670" spans="1:15" x14ac:dyDescent="0.35">
      <c r="A670" t="s">
        <v>149</v>
      </c>
      <c r="B670" t="s">
        <v>30</v>
      </c>
      <c r="C670" t="s">
        <v>22</v>
      </c>
      <c r="D670" t="s">
        <v>45</v>
      </c>
      <c r="E670">
        <v>536972</v>
      </c>
      <c r="F670">
        <v>9.9499999999999993</v>
      </c>
      <c r="G670">
        <v>60</v>
      </c>
      <c r="H670">
        <v>154299</v>
      </c>
      <c r="I670">
        <v>675</v>
      </c>
      <c r="J670" t="s">
        <v>18</v>
      </c>
      <c r="K670">
        <v>1.6</v>
      </c>
      <c r="L670">
        <v>37.200000000000003</v>
      </c>
      <c r="M670" t="s">
        <v>55</v>
      </c>
      <c r="N670" s="7">
        <v>45408</v>
      </c>
      <c r="O670" t="str" cm="1">
        <f t="array" ref="O670">_xlfn.IFS(tbl_loans_clean[[#This Row],[Credit_Score]]&lt;650,"580-649",tbl_loans_clean[[#This Row],[Credit_Score]]&lt;700,"650-699",tbl_loans_clean[[#This Row],[Credit_Score]]&lt;750,"700-749",TRUE,"750+")</f>
        <v>650-699</v>
      </c>
    </row>
    <row r="671" spans="1:15" x14ac:dyDescent="0.35">
      <c r="A671" t="s">
        <v>272</v>
      </c>
      <c r="B671" t="s">
        <v>15</v>
      </c>
      <c r="C671" t="s">
        <v>16</v>
      </c>
      <c r="D671" t="s">
        <v>45</v>
      </c>
      <c r="E671">
        <v>192771</v>
      </c>
      <c r="F671">
        <v>13.1</v>
      </c>
      <c r="G671">
        <v>240</v>
      </c>
      <c r="H671">
        <v>185195</v>
      </c>
      <c r="I671">
        <v>658</v>
      </c>
      <c r="J671" t="s">
        <v>18</v>
      </c>
      <c r="K671">
        <v>0.3</v>
      </c>
      <c r="L671">
        <v>32.9</v>
      </c>
      <c r="M671" t="s">
        <v>23</v>
      </c>
      <c r="N671" s="7">
        <v>45419</v>
      </c>
      <c r="O671" t="str" cm="1">
        <f t="array" ref="O671">_xlfn.IFS(tbl_loans_clean[[#This Row],[Credit_Score]]&lt;650,"580-649",tbl_loans_clean[[#This Row],[Credit_Score]]&lt;700,"650-699",tbl_loans_clean[[#This Row],[Credit_Score]]&lt;750,"700-749",TRUE,"750+")</f>
        <v>650-699</v>
      </c>
    </row>
    <row r="672" spans="1:15" x14ac:dyDescent="0.35">
      <c r="A672" t="s">
        <v>395</v>
      </c>
      <c r="B672" t="s">
        <v>30</v>
      </c>
      <c r="C672" t="s">
        <v>16</v>
      </c>
      <c r="D672" t="s">
        <v>38</v>
      </c>
      <c r="E672">
        <v>596343</v>
      </c>
      <c r="F672">
        <v>11.93</v>
      </c>
      <c r="G672">
        <v>120</v>
      </c>
      <c r="H672">
        <v>93066</v>
      </c>
      <c r="I672">
        <v>847</v>
      </c>
      <c r="J672" t="s">
        <v>18</v>
      </c>
      <c r="K672">
        <v>2.9</v>
      </c>
      <c r="L672">
        <v>16.7</v>
      </c>
      <c r="M672" t="s">
        <v>23</v>
      </c>
      <c r="N672" s="7">
        <v>45420</v>
      </c>
      <c r="O672" t="str" cm="1">
        <f t="array" ref="O672">_xlfn.IFS(tbl_loans_clean[[#This Row],[Credit_Score]]&lt;650,"580-649",tbl_loans_clean[[#This Row],[Credit_Score]]&lt;700,"650-699",tbl_loans_clean[[#This Row],[Credit_Score]]&lt;750,"700-749",TRUE,"750+")</f>
        <v>750+</v>
      </c>
    </row>
    <row r="673" spans="1:15" x14ac:dyDescent="0.35">
      <c r="A673" t="s">
        <v>487</v>
      </c>
      <c r="B673" t="s">
        <v>71</v>
      </c>
      <c r="C673" t="s">
        <v>16</v>
      </c>
      <c r="D673" t="s">
        <v>38</v>
      </c>
      <c r="E673">
        <v>515470</v>
      </c>
      <c r="F673">
        <v>4.67</v>
      </c>
      <c r="G673">
        <v>240</v>
      </c>
      <c r="H673">
        <v>161913</v>
      </c>
      <c r="I673">
        <v>789</v>
      </c>
      <c r="J673" t="s">
        <v>18</v>
      </c>
      <c r="K673">
        <v>8.9</v>
      </c>
      <c r="L673">
        <v>42</v>
      </c>
      <c r="M673" t="s">
        <v>19</v>
      </c>
      <c r="N673" s="7">
        <v>45421</v>
      </c>
      <c r="O673" t="str" cm="1">
        <f t="array" ref="O673">_xlfn.IFS(tbl_loans_clean[[#This Row],[Credit_Score]]&lt;650,"580-649",tbl_loans_clean[[#This Row],[Credit_Score]]&lt;700,"650-699",tbl_loans_clean[[#This Row],[Credit_Score]]&lt;750,"700-749",TRUE,"750+")</f>
        <v>750+</v>
      </c>
    </row>
    <row r="674" spans="1:15" x14ac:dyDescent="0.35">
      <c r="A674" t="s">
        <v>294</v>
      </c>
      <c r="B674" t="s">
        <v>30</v>
      </c>
      <c r="C674" t="s">
        <v>16</v>
      </c>
      <c r="D674" t="s">
        <v>43</v>
      </c>
      <c r="E674">
        <v>459418</v>
      </c>
      <c r="F674">
        <v>11.48</v>
      </c>
      <c r="G674">
        <v>60</v>
      </c>
      <c r="H674">
        <v>185419</v>
      </c>
      <c r="I674">
        <v>625</v>
      </c>
      <c r="J674" t="s">
        <v>18</v>
      </c>
      <c r="K674">
        <v>20.2</v>
      </c>
      <c r="L674">
        <v>44.5</v>
      </c>
      <c r="M674" t="s">
        <v>19</v>
      </c>
      <c r="N674" s="7">
        <v>45423</v>
      </c>
      <c r="O674" t="str" cm="1">
        <f t="array" ref="O674">_xlfn.IFS(tbl_loans_clean[[#This Row],[Credit_Score]]&lt;650,"580-649",tbl_loans_clean[[#This Row],[Credit_Score]]&lt;700,"650-699",tbl_loans_clean[[#This Row],[Credit_Score]]&lt;750,"700-749",TRUE,"750+")</f>
        <v>580-649</v>
      </c>
    </row>
    <row r="675" spans="1:15" x14ac:dyDescent="0.35">
      <c r="A675" t="s">
        <v>143</v>
      </c>
      <c r="B675" t="s">
        <v>30</v>
      </c>
      <c r="C675" t="s">
        <v>22</v>
      </c>
      <c r="D675" t="s">
        <v>17</v>
      </c>
      <c r="E675">
        <v>417811</v>
      </c>
      <c r="F675">
        <v>6.04</v>
      </c>
      <c r="G675">
        <v>60</v>
      </c>
      <c r="H675">
        <v>56931</v>
      </c>
      <c r="I675">
        <v>760</v>
      </c>
      <c r="J675" t="s">
        <v>26</v>
      </c>
      <c r="K675">
        <v>23</v>
      </c>
      <c r="L675">
        <v>18.8</v>
      </c>
      <c r="M675" t="s">
        <v>55</v>
      </c>
      <c r="N675" s="7">
        <v>45424</v>
      </c>
      <c r="O675" t="str" cm="1">
        <f t="array" ref="O675">_xlfn.IFS(tbl_loans_clean[[#This Row],[Credit_Score]]&lt;650,"580-649",tbl_loans_clean[[#This Row],[Credit_Score]]&lt;700,"650-699",tbl_loans_clean[[#This Row],[Credit_Score]]&lt;750,"700-749",TRUE,"750+")</f>
        <v>750+</v>
      </c>
    </row>
    <row r="676" spans="1:15" x14ac:dyDescent="0.35">
      <c r="A676" t="s">
        <v>271</v>
      </c>
      <c r="B676" t="s">
        <v>25</v>
      </c>
      <c r="C676" t="s">
        <v>22</v>
      </c>
      <c r="D676" t="s">
        <v>52</v>
      </c>
      <c r="E676">
        <v>356977</v>
      </c>
      <c r="F676">
        <v>13.83</v>
      </c>
      <c r="G676">
        <v>36</v>
      </c>
      <c r="H676">
        <v>215620</v>
      </c>
      <c r="I676">
        <v>784</v>
      </c>
      <c r="J676" t="s">
        <v>39</v>
      </c>
      <c r="K676">
        <v>15.6</v>
      </c>
      <c r="L676">
        <v>13.6</v>
      </c>
      <c r="M676" t="s">
        <v>23</v>
      </c>
      <c r="N676" s="7">
        <v>45428</v>
      </c>
      <c r="O676" t="str" cm="1">
        <f t="array" ref="O676">_xlfn.IFS(tbl_loans_clean[[#This Row],[Credit_Score]]&lt;650,"580-649",tbl_loans_clean[[#This Row],[Credit_Score]]&lt;700,"650-699",tbl_loans_clean[[#This Row],[Credit_Score]]&lt;750,"700-749",TRUE,"750+")</f>
        <v>750+</v>
      </c>
    </row>
    <row r="677" spans="1:15" x14ac:dyDescent="0.35">
      <c r="A677" t="s">
        <v>253</v>
      </c>
      <c r="B677" t="s">
        <v>28</v>
      </c>
      <c r="C677" t="s">
        <v>34</v>
      </c>
      <c r="D677" t="s">
        <v>17</v>
      </c>
      <c r="E677">
        <v>367462</v>
      </c>
      <c r="F677">
        <v>12.4</v>
      </c>
      <c r="G677">
        <v>36</v>
      </c>
      <c r="H677">
        <v>101984</v>
      </c>
      <c r="I677">
        <v>762</v>
      </c>
      <c r="J677" t="s">
        <v>18</v>
      </c>
      <c r="K677">
        <v>20.3</v>
      </c>
      <c r="L677">
        <v>40.200000000000003</v>
      </c>
      <c r="M677" t="s">
        <v>48</v>
      </c>
      <c r="N677" s="7">
        <v>45430</v>
      </c>
      <c r="O677" t="str" cm="1">
        <f t="array" ref="O677">_xlfn.IFS(tbl_loans_clean[[#This Row],[Credit_Score]]&lt;650,"580-649",tbl_loans_clean[[#This Row],[Credit_Score]]&lt;700,"650-699",tbl_loans_clean[[#This Row],[Credit_Score]]&lt;750,"700-749",TRUE,"750+")</f>
        <v>750+</v>
      </c>
    </row>
    <row r="678" spans="1:15" x14ac:dyDescent="0.35">
      <c r="A678" t="s">
        <v>211</v>
      </c>
      <c r="B678" t="s">
        <v>28</v>
      </c>
      <c r="C678" t="s">
        <v>16</v>
      </c>
      <c r="D678" t="s">
        <v>32</v>
      </c>
      <c r="E678">
        <v>222770</v>
      </c>
      <c r="F678">
        <v>11.59</v>
      </c>
      <c r="G678">
        <v>240</v>
      </c>
      <c r="H678">
        <v>102229</v>
      </c>
      <c r="I678">
        <v>676</v>
      </c>
      <c r="J678" t="s">
        <v>26</v>
      </c>
      <c r="K678">
        <v>1.5</v>
      </c>
      <c r="L678">
        <v>13.3</v>
      </c>
      <c r="M678" t="s">
        <v>55</v>
      </c>
      <c r="N678" s="7">
        <v>45433</v>
      </c>
      <c r="O678" t="str" cm="1">
        <f t="array" ref="O678">_xlfn.IFS(tbl_loans_clean[[#This Row],[Credit_Score]]&lt;650,"580-649",tbl_loans_clean[[#This Row],[Credit_Score]]&lt;700,"650-699",tbl_loans_clean[[#This Row],[Credit_Score]]&lt;750,"700-749",TRUE,"750+")</f>
        <v>650-699</v>
      </c>
    </row>
    <row r="679" spans="1:15" x14ac:dyDescent="0.35">
      <c r="A679" t="s">
        <v>113</v>
      </c>
      <c r="B679" t="s">
        <v>30</v>
      </c>
      <c r="C679" t="s">
        <v>16</v>
      </c>
      <c r="D679" t="s">
        <v>43</v>
      </c>
      <c r="E679">
        <v>472243</v>
      </c>
      <c r="F679">
        <v>3.96</v>
      </c>
      <c r="G679">
        <v>120</v>
      </c>
      <c r="H679">
        <v>74121</v>
      </c>
      <c r="I679">
        <v>601</v>
      </c>
      <c r="J679" t="s">
        <v>18</v>
      </c>
      <c r="K679">
        <v>2</v>
      </c>
      <c r="L679">
        <v>24.4</v>
      </c>
      <c r="M679" t="s">
        <v>48</v>
      </c>
      <c r="N679" s="7">
        <v>45434</v>
      </c>
      <c r="O679" t="str" cm="1">
        <f t="array" ref="O679">_xlfn.IFS(tbl_loans_clean[[#This Row],[Credit_Score]]&lt;650,"580-649",tbl_loans_clean[[#This Row],[Credit_Score]]&lt;700,"650-699",tbl_loans_clean[[#This Row],[Credit_Score]]&lt;750,"700-749",TRUE,"750+")</f>
        <v>580-649</v>
      </c>
    </row>
    <row r="680" spans="1:15" x14ac:dyDescent="0.35">
      <c r="A680" t="s">
        <v>299</v>
      </c>
      <c r="B680" t="s">
        <v>15</v>
      </c>
      <c r="C680" t="s">
        <v>22</v>
      </c>
      <c r="D680" t="s">
        <v>43</v>
      </c>
      <c r="E680">
        <v>283710</v>
      </c>
      <c r="F680">
        <v>5.07</v>
      </c>
      <c r="G680">
        <v>36</v>
      </c>
      <c r="H680">
        <v>69850</v>
      </c>
      <c r="I680">
        <v>845</v>
      </c>
      <c r="J680" t="s">
        <v>18</v>
      </c>
      <c r="K680">
        <v>1.3</v>
      </c>
      <c r="L680">
        <v>46.7</v>
      </c>
      <c r="M680" t="s">
        <v>23</v>
      </c>
      <c r="N680" s="7">
        <v>45436</v>
      </c>
      <c r="O680" t="str" cm="1">
        <f t="array" ref="O680">_xlfn.IFS(tbl_loans_clean[[#This Row],[Credit_Score]]&lt;650,"580-649",tbl_loans_clean[[#This Row],[Credit_Score]]&lt;700,"650-699",tbl_loans_clean[[#This Row],[Credit_Score]]&lt;750,"700-749",TRUE,"750+")</f>
        <v>750+</v>
      </c>
    </row>
    <row r="681" spans="1:15" x14ac:dyDescent="0.35">
      <c r="A681" t="s">
        <v>381</v>
      </c>
      <c r="B681" t="s">
        <v>30</v>
      </c>
      <c r="C681" t="s">
        <v>16</v>
      </c>
      <c r="D681" t="s">
        <v>17</v>
      </c>
      <c r="E681">
        <v>607644</v>
      </c>
      <c r="F681">
        <v>7.16</v>
      </c>
      <c r="G681">
        <v>240</v>
      </c>
      <c r="H681">
        <v>192145</v>
      </c>
      <c r="I681">
        <v>698</v>
      </c>
      <c r="J681" t="s">
        <v>26</v>
      </c>
      <c r="K681">
        <v>7.5</v>
      </c>
      <c r="L681">
        <v>9</v>
      </c>
      <c r="M681" t="s">
        <v>23</v>
      </c>
      <c r="N681" s="7">
        <v>45437</v>
      </c>
      <c r="O681" t="str" cm="1">
        <f t="array" ref="O681">_xlfn.IFS(tbl_loans_clean[[#This Row],[Credit_Score]]&lt;650,"580-649",tbl_loans_clean[[#This Row],[Credit_Score]]&lt;700,"650-699",tbl_loans_clean[[#This Row],[Credit_Score]]&lt;750,"700-749",TRUE,"750+")</f>
        <v>650-699</v>
      </c>
    </row>
    <row r="682" spans="1:15" x14ac:dyDescent="0.35">
      <c r="A682" t="s">
        <v>256</v>
      </c>
      <c r="B682" t="s">
        <v>30</v>
      </c>
      <c r="C682" t="s">
        <v>34</v>
      </c>
      <c r="D682" t="s">
        <v>52</v>
      </c>
      <c r="E682">
        <v>684682</v>
      </c>
      <c r="F682">
        <v>6.47</v>
      </c>
      <c r="G682">
        <v>300</v>
      </c>
      <c r="H682">
        <v>103609</v>
      </c>
      <c r="I682">
        <v>621</v>
      </c>
      <c r="J682" t="s">
        <v>26</v>
      </c>
      <c r="K682">
        <v>1.8</v>
      </c>
      <c r="L682">
        <v>23.4</v>
      </c>
      <c r="M682" t="s">
        <v>23</v>
      </c>
      <c r="N682" s="7">
        <v>45441</v>
      </c>
      <c r="O682" t="str" cm="1">
        <f t="array" ref="O682">_xlfn.IFS(tbl_loans_clean[[#This Row],[Credit_Score]]&lt;650,"580-649",tbl_loans_clean[[#This Row],[Credit_Score]]&lt;700,"650-699",tbl_loans_clean[[#This Row],[Credit_Score]]&lt;750,"700-749",TRUE,"750+")</f>
        <v>580-649</v>
      </c>
    </row>
    <row r="683" spans="1:15" x14ac:dyDescent="0.35">
      <c r="A683" t="s">
        <v>229</v>
      </c>
      <c r="B683" t="s">
        <v>15</v>
      </c>
      <c r="C683" t="s">
        <v>22</v>
      </c>
      <c r="D683" t="s">
        <v>17</v>
      </c>
      <c r="E683">
        <v>671246</v>
      </c>
      <c r="F683">
        <v>8.1999999999999993</v>
      </c>
      <c r="G683">
        <v>300</v>
      </c>
      <c r="H683">
        <v>44122</v>
      </c>
      <c r="I683">
        <v>778</v>
      </c>
      <c r="J683" t="s">
        <v>18</v>
      </c>
      <c r="K683">
        <v>6.7</v>
      </c>
      <c r="L683">
        <v>40.799999999999997</v>
      </c>
      <c r="M683" t="s">
        <v>48</v>
      </c>
      <c r="N683" s="7">
        <v>45442</v>
      </c>
      <c r="O683" t="str" cm="1">
        <f t="array" ref="O683">_xlfn.IFS(tbl_loans_clean[[#This Row],[Credit_Score]]&lt;650,"580-649",tbl_loans_clean[[#This Row],[Credit_Score]]&lt;700,"650-699",tbl_loans_clean[[#This Row],[Credit_Score]]&lt;750,"700-749",TRUE,"750+")</f>
        <v>750+</v>
      </c>
    </row>
    <row r="684" spans="1:15" x14ac:dyDescent="0.35">
      <c r="A684" t="s">
        <v>24</v>
      </c>
      <c r="B684" t="s">
        <v>25</v>
      </c>
      <c r="C684" t="s">
        <v>16</v>
      </c>
      <c r="D684" t="s">
        <v>17</v>
      </c>
      <c r="E684">
        <v>183570</v>
      </c>
      <c r="F684">
        <v>13.9</v>
      </c>
      <c r="G684">
        <v>120</v>
      </c>
      <c r="H684">
        <v>53216</v>
      </c>
      <c r="I684">
        <v>727</v>
      </c>
      <c r="J684" t="s">
        <v>26</v>
      </c>
      <c r="K684">
        <v>10</v>
      </c>
      <c r="L684">
        <v>27.6</v>
      </c>
      <c r="M684" t="s">
        <v>23</v>
      </c>
      <c r="N684" s="7">
        <v>45446</v>
      </c>
      <c r="O684" t="str" cm="1">
        <f t="array" ref="O684">_xlfn.IFS(tbl_loans_clean[[#This Row],[Credit_Score]]&lt;650,"580-649",tbl_loans_clean[[#This Row],[Credit_Score]]&lt;700,"650-699",tbl_loans_clean[[#This Row],[Credit_Score]]&lt;750,"700-749",TRUE,"750+")</f>
        <v>700-749</v>
      </c>
    </row>
    <row r="685" spans="1:15" x14ac:dyDescent="0.35">
      <c r="A685" t="s">
        <v>441</v>
      </c>
      <c r="B685" t="s">
        <v>25</v>
      </c>
      <c r="C685" t="s">
        <v>22</v>
      </c>
      <c r="D685" t="s">
        <v>17</v>
      </c>
      <c r="E685">
        <v>146365</v>
      </c>
      <c r="F685">
        <v>10.39</v>
      </c>
      <c r="G685">
        <v>36</v>
      </c>
      <c r="H685">
        <v>66196</v>
      </c>
      <c r="I685">
        <v>845</v>
      </c>
      <c r="J685" t="s">
        <v>39</v>
      </c>
      <c r="K685">
        <v>21.6</v>
      </c>
      <c r="L685">
        <v>25.5</v>
      </c>
      <c r="M685" t="s">
        <v>48</v>
      </c>
      <c r="N685" s="7">
        <v>45446</v>
      </c>
      <c r="O685" t="str" cm="1">
        <f t="array" ref="O685">_xlfn.IFS(tbl_loans_clean[[#This Row],[Credit_Score]]&lt;650,"580-649",tbl_loans_clean[[#This Row],[Credit_Score]]&lt;700,"650-699",tbl_loans_clean[[#This Row],[Credit_Score]]&lt;750,"700-749",TRUE,"750+")</f>
        <v>750+</v>
      </c>
    </row>
    <row r="686" spans="1:15" x14ac:dyDescent="0.35">
      <c r="A686" t="s">
        <v>475</v>
      </c>
      <c r="B686" t="s">
        <v>30</v>
      </c>
      <c r="C686" t="s">
        <v>22</v>
      </c>
      <c r="D686" t="s">
        <v>52</v>
      </c>
      <c r="E686">
        <v>442940</v>
      </c>
      <c r="F686">
        <v>9.7200000000000006</v>
      </c>
      <c r="G686">
        <v>12</v>
      </c>
      <c r="H686">
        <v>69979</v>
      </c>
      <c r="I686">
        <v>609</v>
      </c>
      <c r="J686" t="s">
        <v>18</v>
      </c>
      <c r="K686">
        <v>0.4</v>
      </c>
      <c r="L686">
        <v>35.1</v>
      </c>
      <c r="M686" t="s">
        <v>55</v>
      </c>
      <c r="N686" s="7">
        <v>45446</v>
      </c>
      <c r="O686" t="str" cm="1">
        <f t="array" ref="O686">_xlfn.IFS(tbl_loans_clean[[#This Row],[Credit_Score]]&lt;650,"580-649",tbl_loans_clean[[#This Row],[Credit_Score]]&lt;700,"650-699",tbl_loans_clean[[#This Row],[Credit_Score]]&lt;750,"700-749",TRUE,"750+")</f>
        <v>580-649</v>
      </c>
    </row>
    <row r="687" spans="1:15" x14ac:dyDescent="0.35">
      <c r="A687" t="s">
        <v>650</v>
      </c>
      <c r="B687" t="s">
        <v>15</v>
      </c>
      <c r="C687" t="s">
        <v>16</v>
      </c>
      <c r="D687" t="s">
        <v>17</v>
      </c>
      <c r="E687">
        <v>60841</v>
      </c>
      <c r="F687">
        <v>13.25</v>
      </c>
      <c r="G687">
        <v>48</v>
      </c>
      <c r="H687">
        <v>45118</v>
      </c>
      <c r="I687">
        <v>641</v>
      </c>
      <c r="J687" t="s">
        <v>18</v>
      </c>
      <c r="K687">
        <v>1.8</v>
      </c>
      <c r="L687">
        <v>9.5</v>
      </c>
      <c r="M687" t="s">
        <v>48</v>
      </c>
      <c r="N687" s="7">
        <v>45447</v>
      </c>
      <c r="O687" t="str" cm="1">
        <f t="array" ref="O687">_xlfn.IFS(tbl_loans_clean[[#This Row],[Credit_Score]]&lt;650,"580-649",tbl_loans_clean[[#This Row],[Credit_Score]]&lt;700,"650-699",tbl_loans_clean[[#This Row],[Credit_Score]]&lt;750,"700-749",TRUE,"750+")</f>
        <v>580-649</v>
      </c>
    </row>
    <row r="688" spans="1:15" x14ac:dyDescent="0.35">
      <c r="A688" t="s">
        <v>454</v>
      </c>
      <c r="B688" t="s">
        <v>21</v>
      </c>
      <c r="C688" t="s">
        <v>22</v>
      </c>
      <c r="D688" t="s">
        <v>73</v>
      </c>
      <c r="E688">
        <v>742954</v>
      </c>
      <c r="F688">
        <v>4.2</v>
      </c>
      <c r="G688">
        <v>36</v>
      </c>
      <c r="H688">
        <v>72306</v>
      </c>
      <c r="I688">
        <v>611</v>
      </c>
      <c r="J688" t="s">
        <v>26</v>
      </c>
      <c r="K688">
        <v>22.3</v>
      </c>
      <c r="L688">
        <v>22.9</v>
      </c>
      <c r="M688" t="s">
        <v>55</v>
      </c>
      <c r="N688" s="7">
        <v>45448</v>
      </c>
      <c r="O688" t="str" cm="1">
        <f t="array" ref="O688">_xlfn.IFS(tbl_loans_clean[[#This Row],[Credit_Score]]&lt;650,"580-649",tbl_loans_clean[[#This Row],[Credit_Score]]&lt;700,"650-699",tbl_loans_clean[[#This Row],[Credit_Score]]&lt;750,"700-749",TRUE,"750+")</f>
        <v>580-649</v>
      </c>
    </row>
    <row r="689" spans="1:15" x14ac:dyDescent="0.35">
      <c r="A689" t="s">
        <v>748</v>
      </c>
      <c r="B689" t="s">
        <v>30</v>
      </c>
      <c r="C689" t="s">
        <v>16</v>
      </c>
      <c r="D689" t="s">
        <v>17</v>
      </c>
      <c r="E689">
        <v>442100</v>
      </c>
      <c r="F689">
        <v>11.39</v>
      </c>
      <c r="G689">
        <v>48</v>
      </c>
      <c r="H689">
        <v>102694</v>
      </c>
      <c r="I689">
        <v>593</v>
      </c>
      <c r="J689" t="s">
        <v>18</v>
      </c>
      <c r="K689">
        <v>17.600000000000001</v>
      </c>
      <c r="L689">
        <v>43.7</v>
      </c>
      <c r="M689" t="s">
        <v>19</v>
      </c>
      <c r="N689" s="7">
        <v>45449</v>
      </c>
      <c r="O689" t="str" cm="1">
        <f t="array" ref="O689">_xlfn.IFS(tbl_loans_clean[[#This Row],[Credit_Score]]&lt;650,"580-649",tbl_loans_clean[[#This Row],[Credit_Score]]&lt;700,"650-699",tbl_loans_clean[[#This Row],[Credit_Score]]&lt;750,"700-749",TRUE,"750+")</f>
        <v>580-649</v>
      </c>
    </row>
    <row r="690" spans="1:15" x14ac:dyDescent="0.35">
      <c r="A690" t="s">
        <v>258</v>
      </c>
      <c r="B690" t="s">
        <v>25</v>
      </c>
      <c r="C690" t="s">
        <v>16</v>
      </c>
      <c r="D690" t="s">
        <v>38</v>
      </c>
      <c r="E690">
        <v>562243</v>
      </c>
      <c r="F690">
        <v>6.02</v>
      </c>
      <c r="G690">
        <v>48</v>
      </c>
      <c r="H690">
        <v>154700</v>
      </c>
      <c r="I690">
        <v>680</v>
      </c>
      <c r="J690" t="s">
        <v>26</v>
      </c>
      <c r="K690">
        <v>19.2</v>
      </c>
      <c r="L690">
        <v>22.2</v>
      </c>
      <c r="M690" t="s">
        <v>19</v>
      </c>
      <c r="N690" s="7">
        <v>45452</v>
      </c>
      <c r="O690" t="str" cm="1">
        <f t="array" ref="O690">_xlfn.IFS(tbl_loans_clean[[#This Row],[Credit_Score]]&lt;650,"580-649",tbl_loans_clean[[#This Row],[Credit_Score]]&lt;700,"650-699",tbl_loans_clean[[#This Row],[Credit_Score]]&lt;750,"700-749",TRUE,"750+")</f>
        <v>650-699</v>
      </c>
    </row>
    <row r="691" spans="1:15" x14ac:dyDescent="0.35">
      <c r="A691" t="s">
        <v>366</v>
      </c>
      <c r="B691" t="s">
        <v>21</v>
      </c>
      <c r="C691" t="s">
        <v>16</v>
      </c>
      <c r="D691" t="s">
        <v>38</v>
      </c>
      <c r="E691">
        <v>699489</v>
      </c>
      <c r="F691">
        <v>3.96</v>
      </c>
      <c r="G691">
        <v>12</v>
      </c>
      <c r="H691">
        <v>84652</v>
      </c>
      <c r="I691">
        <v>648</v>
      </c>
      <c r="J691" t="s">
        <v>26</v>
      </c>
      <c r="K691">
        <v>23</v>
      </c>
      <c r="L691">
        <v>29.1</v>
      </c>
      <c r="M691" t="s">
        <v>23</v>
      </c>
      <c r="N691" s="7">
        <v>45454</v>
      </c>
      <c r="O691" t="str" cm="1">
        <f t="array" ref="O691">_xlfn.IFS(tbl_loans_clean[[#This Row],[Credit_Score]]&lt;650,"580-649",tbl_loans_clean[[#This Row],[Credit_Score]]&lt;700,"650-699",tbl_loans_clean[[#This Row],[Credit_Score]]&lt;750,"700-749",TRUE,"750+")</f>
        <v>580-649</v>
      </c>
    </row>
    <row r="692" spans="1:15" x14ac:dyDescent="0.35">
      <c r="A692" t="s">
        <v>202</v>
      </c>
      <c r="B692" t="s">
        <v>28</v>
      </c>
      <c r="C692" t="s">
        <v>16</v>
      </c>
      <c r="D692" t="s">
        <v>43</v>
      </c>
      <c r="E692">
        <v>553333</v>
      </c>
      <c r="F692">
        <v>4.12</v>
      </c>
      <c r="G692">
        <v>48</v>
      </c>
      <c r="H692">
        <v>50490</v>
      </c>
      <c r="I692">
        <v>682</v>
      </c>
      <c r="J692" t="s">
        <v>18</v>
      </c>
      <c r="K692">
        <v>9.9</v>
      </c>
      <c r="L692">
        <v>28.4</v>
      </c>
      <c r="M692" t="s">
        <v>23</v>
      </c>
      <c r="N692" s="7">
        <v>45455</v>
      </c>
      <c r="O692" t="str" cm="1">
        <f t="array" ref="O692">_xlfn.IFS(tbl_loans_clean[[#This Row],[Credit_Score]]&lt;650,"580-649",tbl_loans_clean[[#This Row],[Credit_Score]]&lt;700,"650-699",tbl_loans_clean[[#This Row],[Credit_Score]]&lt;750,"700-749",TRUE,"750+")</f>
        <v>650-699</v>
      </c>
    </row>
    <row r="693" spans="1:15" x14ac:dyDescent="0.35">
      <c r="A693" t="s">
        <v>423</v>
      </c>
      <c r="B693" t="s">
        <v>28</v>
      </c>
      <c r="C693" t="s">
        <v>22</v>
      </c>
      <c r="D693" t="s">
        <v>38</v>
      </c>
      <c r="E693">
        <v>547423</v>
      </c>
      <c r="F693">
        <v>5.49</v>
      </c>
      <c r="G693">
        <v>12</v>
      </c>
      <c r="H693">
        <v>68644</v>
      </c>
      <c r="I693">
        <v>819</v>
      </c>
      <c r="J693" t="s">
        <v>18</v>
      </c>
      <c r="K693">
        <v>13.1</v>
      </c>
      <c r="L693">
        <v>16.399999999999999</v>
      </c>
      <c r="M693" t="s">
        <v>19</v>
      </c>
      <c r="N693" s="7">
        <v>45461</v>
      </c>
      <c r="O693" t="str" cm="1">
        <f t="array" ref="O693">_xlfn.IFS(tbl_loans_clean[[#This Row],[Credit_Score]]&lt;650,"580-649",tbl_loans_clean[[#This Row],[Credit_Score]]&lt;700,"650-699",tbl_loans_clean[[#This Row],[Credit_Score]]&lt;750,"700-749",TRUE,"750+")</f>
        <v>750+</v>
      </c>
    </row>
    <row r="694" spans="1:15" x14ac:dyDescent="0.35">
      <c r="A694" t="s">
        <v>730</v>
      </c>
      <c r="B694" t="s">
        <v>25</v>
      </c>
      <c r="C694" t="s">
        <v>22</v>
      </c>
      <c r="D694" t="s">
        <v>32</v>
      </c>
      <c r="E694">
        <v>367916</v>
      </c>
      <c r="F694">
        <v>3.54</v>
      </c>
      <c r="G694">
        <v>60</v>
      </c>
      <c r="H694">
        <v>119319</v>
      </c>
      <c r="I694">
        <v>837</v>
      </c>
      <c r="J694" t="s">
        <v>18</v>
      </c>
      <c r="K694">
        <v>20.3</v>
      </c>
      <c r="L694">
        <v>32.200000000000003</v>
      </c>
      <c r="M694" t="s">
        <v>19</v>
      </c>
      <c r="N694" s="7">
        <v>45462</v>
      </c>
      <c r="O694" t="str" cm="1">
        <f t="array" ref="O694">_xlfn.IFS(tbl_loans_clean[[#This Row],[Credit_Score]]&lt;650,"580-649",tbl_loans_clean[[#This Row],[Credit_Score]]&lt;700,"650-699",tbl_loans_clean[[#This Row],[Credit_Score]]&lt;750,"700-749",TRUE,"750+")</f>
        <v>750+</v>
      </c>
    </row>
    <row r="695" spans="1:15" x14ac:dyDescent="0.35">
      <c r="A695" t="s">
        <v>125</v>
      </c>
      <c r="B695" t="s">
        <v>30</v>
      </c>
      <c r="C695" t="s">
        <v>16</v>
      </c>
      <c r="D695" t="s">
        <v>17</v>
      </c>
      <c r="E695">
        <v>724282</v>
      </c>
      <c r="F695">
        <v>5.52</v>
      </c>
      <c r="G695">
        <v>240</v>
      </c>
      <c r="H695">
        <v>93911</v>
      </c>
      <c r="I695">
        <v>635</v>
      </c>
      <c r="J695" t="s">
        <v>18</v>
      </c>
      <c r="K695">
        <v>4.2</v>
      </c>
      <c r="L695">
        <v>42.7</v>
      </c>
      <c r="M695" t="s">
        <v>23</v>
      </c>
      <c r="N695" s="7">
        <v>45470</v>
      </c>
      <c r="O695" t="str" cm="1">
        <f t="array" ref="O695">_xlfn.IFS(tbl_loans_clean[[#This Row],[Credit_Score]]&lt;650,"580-649",tbl_loans_clean[[#This Row],[Credit_Score]]&lt;700,"650-699",tbl_loans_clean[[#This Row],[Credit_Score]]&lt;750,"700-749",TRUE,"750+")</f>
        <v>580-649</v>
      </c>
    </row>
    <row r="696" spans="1:15" x14ac:dyDescent="0.35">
      <c r="A696" t="s">
        <v>361</v>
      </c>
      <c r="B696" t="s">
        <v>30</v>
      </c>
      <c r="C696" t="s">
        <v>22</v>
      </c>
      <c r="D696" t="s">
        <v>32</v>
      </c>
      <c r="E696">
        <v>184767</v>
      </c>
      <c r="F696">
        <v>4.0599999999999996</v>
      </c>
      <c r="G696">
        <v>12</v>
      </c>
      <c r="H696">
        <v>39279</v>
      </c>
      <c r="I696">
        <v>663</v>
      </c>
      <c r="J696" t="s">
        <v>26</v>
      </c>
      <c r="K696">
        <v>0.1</v>
      </c>
      <c r="L696">
        <v>33.299999999999997</v>
      </c>
      <c r="M696" t="s">
        <v>55</v>
      </c>
      <c r="N696" s="7">
        <v>45470</v>
      </c>
      <c r="O696" t="str" cm="1">
        <f t="array" ref="O696">_xlfn.IFS(tbl_loans_clean[[#This Row],[Credit_Score]]&lt;650,"580-649",tbl_loans_clean[[#This Row],[Credit_Score]]&lt;700,"650-699",tbl_loans_clean[[#This Row],[Credit_Score]]&lt;750,"700-749",TRUE,"750+")</f>
        <v>650-699</v>
      </c>
    </row>
    <row r="697" spans="1:15" x14ac:dyDescent="0.35">
      <c r="A697" t="s">
        <v>673</v>
      </c>
      <c r="B697" t="s">
        <v>83</v>
      </c>
      <c r="C697" t="s">
        <v>16</v>
      </c>
      <c r="D697" t="s">
        <v>17</v>
      </c>
      <c r="E697">
        <v>711673</v>
      </c>
      <c r="F697">
        <v>9.4499999999999993</v>
      </c>
      <c r="G697">
        <v>12</v>
      </c>
      <c r="H697">
        <v>118436</v>
      </c>
      <c r="I697">
        <v>844</v>
      </c>
      <c r="J697" t="s">
        <v>18</v>
      </c>
      <c r="K697">
        <v>11.6</v>
      </c>
      <c r="L697">
        <v>27.3</v>
      </c>
      <c r="M697" t="s">
        <v>48</v>
      </c>
      <c r="N697" s="7">
        <v>45471</v>
      </c>
      <c r="O697" t="str" cm="1">
        <f t="array" ref="O697">_xlfn.IFS(tbl_loans_clean[[#This Row],[Credit_Score]]&lt;650,"580-649",tbl_loans_clean[[#This Row],[Credit_Score]]&lt;700,"650-699",tbl_loans_clean[[#This Row],[Credit_Score]]&lt;750,"700-749",TRUE,"750+")</f>
        <v>750+</v>
      </c>
    </row>
    <row r="698" spans="1:15" x14ac:dyDescent="0.35">
      <c r="A698" t="s">
        <v>446</v>
      </c>
      <c r="B698" t="s">
        <v>30</v>
      </c>
      <c r="C698" t="s">
        <v>22</v>
      </c>
      <c r="D698" t="s">
        <v>17</v>
      </c>
      <c r="E698">
        <v>246225</v>
      </c>
      <c r="F698">
        <v>5.67</v>
      </c>
      <c r="G698">
        <v>48</v>
      </c>
      <c r="H698">
        <v>37943</v>
      </c>
      <c r="I698">
        <v>636</v>
      </c>
      <c r="J698" t="s">
        <v>18</v>
      </c>
      <c r="K698">
        <v>6.3</v>
      </c>
      <c r="L698">
        <v>32.299999999999997</v>
      </c>
      <c r="M698" t="s">
        <v>23</v>
      </c>
      <c r="N698" s="7">
        <v>45474</v>
      </c>
      <c r="O698" t="str" cm="1">
        <f t="array" ref="O698">_xlfn.IFS(tbl_loans_clean[[#This Row],[Credit_Score]]&lt;650,"580-649",tbl_loans_clean[[#This Row],[Credit_Score]]&lt;700,"650-699",tbl_loans_clean[[#This Row],[Credit_Score]]&lt;750,"700-749",TRUE,"750+")</f>
        <v>580-649</v>
      </c>
    </row>
    <row r="699" spans="1:15" x14ac:dyDescent="0.35">
      <c r="A699" t="s">
        <v>643</v>
      </c>
      <c r="B699" t="s">
        <v>30</v>
      </c>
      <c r="C699" t="s">
        <v>22</v>
      </c>
      <c r="D699" t="s">
        <v>17</v>
      </c>
      <c r="E699">
        <v>350740</v>
      </c>
      <c r="F699">
        <v>10.74</v>
      </c>
      <c r="G699">
        <v>36</v>
      </c>
      <c r="H699">
        <v>70598</v>
      </c>
      <c r="I699">
        <v>735</v>
      </c>
      <c r="J699" t="s">
        <v>18</v>
      </c>
      <c r="K699">
        <v>19.5</v>
      </c>
      <c r="L699">
        <v>40.5</v>
      </c>
      <c r="M699" t="s">
        <v>23</v>
      </c>
      <c r="N699" s="7">
        <v>45475</v>
      </c>
      <c r="O699" t="str" cm="1">
        <f t="array" ref="O699">_xlfn.IFS(tbl_loans_clean[[#This Row],[Credit_Score]]&lt;650,"580-649",tbl_loans_clean[[#This Row],[Credit_Score]]&lt;700,"650-699",tbl_loans_clean[[#This Row],[Credit_Score]]&lt;750,"700-749",TRUE,"750+")</f>
        <v>700-749</v>
      </c>
    </row>
    <row r="700" spans="1:15" x14ac:dyDescent="0.35">
      <c r="A700" t="s">
        <v>249</v>
      </c>
      <c r="B700" t="s">
        <v>30</v>
      </c>
      <c r="C700" t="s">
        <v>22</v>
      </c>
      <c r="D700" t="s">
        <v>17</v>
      </c>
      <c r="E700">
        <v>267093</v>
      </c>
      <c r="F700">
        <v>4</v>
      </c>
      <c r="G700">
        <v>240</v>
      </c>
      <c r="H700">
        <v>159764</v>
      </c>
      <c r="I700">
        <v>673</v>
      </c>
      <c r="J700" t="s">
        <v>18</v>
      </c>
      <c r="K700">
        <v>6.6</v>
      </c>
      <c r="L700">
        <v>18.3</v>
      </c>
      <c r="M700" t="s">
        <v>19</v>
      </c>
      <c r="N700" s="7">
        <v>45476</v>
      </c>
      <c r="O700" t="str" cm="1">
        <f t="array" ref="O700">_xlfn.IFS(tbl_loans_clean[[#This Row],[Credit_Score]]&lt;650,"580-649",tbl_loans_clean[[#This Row],[Credit_Score]]&lt;700,"650-699",tbl_loans_clean[[#This Row],[Credit_Score]]&lt;750,"700-749",TRUE,"750+")</f>
        <v>650-699</v>
      </c>
    </row>
    <row r="701" spans="1:15" x14ac:dyDescent="0.35">
      <c r="A701" t="s">
        <v>205</v>
      </c>
      <c r="B701" t="s">
        <v>30</v>
      </c>
      <c r="C701" t="s">
        <v>22</v>
      </c>
      <c r="D701" t="s">
        <v>17</v>
      </c>
      <c r="E701">
        <v>619390</v>
      </c>
      <c r="F701">
        <v>12.3</v>
      </c>
      <c r="G701">
        <v>120</v>
      </c>
      <c r="H701">
        <v>108820</v>
      </c>
      <c r="I701">
        <v>669</v>
      </c>
      <c r="J701" t="s">
        <v>39</v>
      </c>
      <c r="K701">
        <v>9.6</v>
      </c>
      <c r="L701">
        <v>30.6</v>
      </c>
      <c r="M701" t="s">
        <v>23</v>
      </c>
      <c r="N701" s="7">
        <v>45477</v>
      </c>
      <c r="O701" t="str" cm="1">
        <f t="array" ref="O701">_xlfn.IFS(tbl_loans_clean[[#This Row],[Credit_Score]]&lt;650,"580-649",tbl_loans_clean[[#This Row],[Credit_Score]]&lt;700,"650-699",tbl_loans_clean[[#This Row],[Credit_Score]]&lt;750,"700-749",TRUE,"750+")</f>
        <v>650-699</v>
      </c>
    </row>
    <row r="702" spans="1:15" x14ac:dyDescent="0.35">
      <c r="A702" t="s">
        <v>411</v>
      </c>
      <c r="B702" t="s">
        <v>30</v>
      </c>
      <c r="C702" t="s">
        <v>22</v>
      </c>
      <c r="D702" t="s">
        <v>17</v>
      </c>
      <c r="E702">
        <v>581677</v>
      </c>
      <c r="F702">
        <v>11.67</v>
      </c>
      <c r="G702">
        <v>60</v>
      </c>
      <c r="H702">
        <v>106291</v>
      </c>
      <c r="I702">
        <v>581</v>
      </c>
      <c r="J702" t="s">
        <v>18</v>
      </c>
      <c r="K702">
        <v>10.199999999999999</v>
      </c>
      <c r="L702">
        <v>35.6</v>
      </c>
      <c r="M702" t="s">
        <v>23</v>
      </c>
      <c r="N702" s="7">
        <v>45478</v>
      </c>
      <c r="O702" t="str" cm="1">
        <f t="array" ref="O702">_xlfn.IFS(tbl_loans_clean[[#This Row],[Credit_Score]]&lt;650,"580-649",tbl_loans_clean[[#This Row],[Credit_Score]]&lt;700,"650-699",tbl_loans_clean[[#This Row],[Credit_Score]]&lt;750,"700-749",TRUE,"750+")</f>
        <v>580-649</v>
      </c>
    </row>
    <row r="703" spans="1:15" x14ac:dyDescent="0.35">
      <c r="A703" t="s">
        <v>84</v>
      </c>
      <c r="B703" t="s">
        <v>30</v>
      </c>
      <c r="C703" t="s">
        <v>22</v>
      </c>
      <c r="D703" t="s">
        <v>17</v>
      </c>
      <c r="E703">
        <v>292516</v>
      </c>
      <c r="F703">
        <v>9.4</v>
      </c>
      <c r="G703">
        <v>300</v>
      </c>
      <c r="H703">
        <v>85514</v>
      </c>
      <c r="I703">
        <v>725</v>
      </c>
      <c r="J703" t="s">
        <v>18</v>
      </c>
      <c r="K703">
        <v>8.8000000000000007</v>
      </c>
      <c r="L703">
        <v>41.4</v>
      </c>
      <c r="M703" t="s">
        <v>19</v>
      </c>
      <c r="N703" s="7">
        <v>45480</v>
      </c>
      <c r="O703" t="str" cm="1">
        <f t="array" ref="O703">_xlfn.IFS(tbl_loans_clean[[#This Row],[Credit_Score]]&lt;650,"580-649",tbl_loans_clean[[#This Row],[Credit_Score]]&lt;700,"650-699",tbl_loans_clean[[#This Row],[Credit_Score]]&lt;750,"700-749",TRUE,"750+")</f>
        <v>700-749</v>
      </c>
    </row>
    <row r="704" spans="1:15" x14ac:dyDescent="0.35">
      <c r="A704" t="s">
        <v>383</v>
      </c>
      <c r="B704" t="s">
        <v>15</v>
      </c>
      <c r="C704" t="s">
        <v>22</v>
      </c>
      <c r="D704" t="s">
        <v>17</v>
      </c>
      <c r="E704">
        <v>372570</v>
      </c>
      <c r="F704">
        <v>3.98</v>
      </c>
      <c r="G704">
        <v>12</v>
      </c>
      <c r="H704">
        <v>125624</v>
      </c>
      <c r="I704">
        <v>593</v>
      </c>
      <c r="J704" t="s">
        <v>39</v>
      </c>
      <c r="K704">
        <v>21.4</v>
      </c>
      <c r="L704">
        <v>29.5</v>
      </c>
      <c r="M704" t="s">
        <v>23</v>
      </c>
      <c r="N704" s="7">
        <v>45480</v>
      </c>
      <c r="O704" t="str" cm="1">
        <f t="array" ref="O704">_xlfn.IFS(tbl_loans_clean[[#This Row],[Credit_Score]]&lt;650,"580-649",tbl_loans_clean[[#This Row],[Credit_Score]]&lt;700,"650-699",tbl_loans_clean[[#This Row],[Credit_Score]]&lt;750,"700-749",TRUE,"750+")</f>
        <v>580-649</v>
      </c>
    </row>
    <row r="705" spans="1:15" x14ac:dyDescent="0.35">
      <c r="A705" t="s">
        <v>222</v>
      </c>
      <c r="B705" t="s">
        <v>30</v>
      </c>
      <c r="C705" t="s">
        <v>16</v>
      </c>
      <c r="D705" t="s">
        <v>73</v>
      </c>
      <c r="E705">
        <v>323766</v>
      </c>
      <c r="F705">
        <v>10.73</v>
      </c>
      <c r="G705">
        <v>48</v>
      </c>
      <c r="H705">
        <v>36947</v>
      </c>
      <c r="I705">
        <v>641</v>
      </c>
      <c r="J705" t="s">
        <v>18</v>
      </c>
      <c r="K705">
        <v>12.9</v>
      </c>
      <c r="L705">
        <v>29.8</v>
      </c>
      <c r="M705" t="s">
        <v>23</v>
      </c>
      <c r="N705" s="7">
        <v>45481</v>
      </c>
      <c r="O705" t="str" cm="1">
        <f t="array" ref="O705">_xlfn.IFS(tbl_loans_clean[[#This Row],[Credit_Score]]&lt;650,"580-649",tbl_loans_clean[[#This Row],[Credit_Score]]&lt;700,"650-699",tbl_loans_clean[[#This Row],[Credit_Score]]&lt;750,"700-749",TRUE,"750+")</f>
        <v>580-649</v>
      </c>
    </row>
    <row r="706" spans="1:15" x14ac:dyDescent="0.35">
      <c r="A706" t="s">
        <v>472</v>
      </c>
      <c r="B706" t="s">
        <v>30</v>
      </c>
      <c r="C706" t="s">
        <v>34</v>
      </c>
      <c r="D706" t="s">
        <v>17</v>
      </c>
      <c r="E706">
        <v>737763</v>
      </c>
      <c r="F706">
        <v>12.53</v>
      </c>
      <c r="G706">
        <v>12</v>
      </c>
      <c r="H706">
        <v>154796</v>
      </c>
      <c r="I706">
        <v>833</v>
      </c>
      <c r="J706" t="s">
        <v>18</v>
      </c>
      <c r="K706">
        <v>21.6</v>
      </c>
      <c r="L706">
        <v>25.6</v>
      </c>
      <c r="M706" t="s">
        <v>55</v>
      </c>
      <c r="N706" s="7">
        <v>45483</v>
      </c>
      <c r="O706" t="str" cm="1">
        <f t="array" ref="O706">_xlfn.IFS(tbl_loans_clean[[#This Row],[Credit_Score]]&lt;650,"580-649",tbl_loans_clean[[#This Row],[Credit_Score]]&lt;700,"650-699",tbl_loans_clean[[#This Row],[Credit_Score]]&lt;750,"700-749",TRUE,"750+")</f>
        <v>750+</v>
      </c>
    </row>
    <row r="707" spans="1:15" x14ac:dyDescent="0.35">
      <c r="A707" t="s">
        <v>572</v>
      </c>
      <c r="B707" t="s">
        <v>25</v>
      </c>
      <c r="C707" t="s">
        <v>16</v>
      </c>
      <c r="D707" t="s">
        <v>17</v>
      </c>
      <c r="E707">
        <v>486725</v>
      </c>
      <c r="F707">
        <v>12.95</v>
      </c>
      <c r="G707">
        <v>60</v>
      </c>
      <c r="H707">
        <v>149897</v>
      </c>
      <c r="I707">
        <v>680</v>
      </c>
      <c r="J707" t="s">
        <v>35</v>
      </c>
      <c r="K707">
        <v>12.6</v>
      </c>
      <c r="L707">
        <v>8.1</v>
      </c>
      <c r="M707" t="s">
        <v>19</v>
      </c>
      <c r="N707" s="7">
        <v>45483</v>
      </c>
      <c r="O707" t="str" cm="1">
        <f t="array" ref="O707">_xlfn.IFS(tbl_loans_clean[[#This Row],[Credit_Score]]&lt;650,"580-649",tbl_loans_clean[[#This Row],[Credit_Score]]&lt;700,"650-699",tbl_loans_clean[[#This Row],[Credit_Score]]&lt;750,"700-749",TRUE,"750+")</f>
        <v>650-699</v>
      </c>
    </row>
    <row r="708" spans="1:15" x14ac:dyDescent="0.35">
      <c r="A708" t="s">
        <v>334</v>
      </c>
      <c r="B708" t="s">
        <v>25</v>
      </c>
      <c r="C708" t="s">
        <v>16</v>
      </c>
      <c r="D708" t="s">
        <v>38</v>
      </c>
      <c r="E708">
        <v>583526</v>
      </c>
      <c r="F708">
        <v>7.63</v>
      </c>
      <c r="G708">
        <v>36</v>
      </c>
      <c r="H708">
        <v>151769</v>
      </c>
      <c r="I708">
        <v>658</v>
      </c>
      <c r="J708" t="s">
        <v>18</v>
      </c>
      <c r="K708">
        <v>12.4</v>
      </c>
      <c r="L708">
        <v>28.5</v>
      </c>
      <c r="M708" t="s">
        <v>48</v>
      </c>
      <c r="N708" s="7">
        <v>45485</v>
      </c>
      <c r="O708" t="str" cm="1">
        <f t="array" ref="O708">_xlfn.IFS(tbl_loans_clean[[#This Row],[Credit_Score]]&lt;650,"580-649",tbl_loans_clean[[#This Row],[Credit_Score]]&lt;700,"650-699",tbl_loans_clean[[#This Row],[Credit_Score]]&lt;750,"700-749",TRUE,"750+")</f>
        <v>650-699</v>
      </c>
    </row>
    <row r="709" spans="1:15" x14ac:dyDescent="0.35">
      <c r="A709" t="s">
        <v>60</v>
      </c>
      <c r="B709" t="s">
        <v>15</v>
      </c>
      <c r="C709" t="s">
        <v>22</v>
      </c>
      <c r="D709" t="s">
        <v>52</v>
      </c>
      <c r="E709">
        <v>208199</v>
      </c>
      <c r="F709">
        <v>12.95</v>
      </c>
      <c r="G709">
        <v>300</v>
      </c>
      <c r="H709">
        <v>109006</v>
      </c>
      <c r="I709">
        <v>661</v>
      </c>
      <c r="J709" t="s">
        <v>18</v>
      </c>
      <c r="K709">
        <v>16.3</v>
      </c>
      <c r="L709">
        <v>15.3</v>
      </c>
      <c r="M709" t="s">
        <v>19</v>
      </c>
      <c r="N709" s="7">
        <v>45486</v>
      </c>
      <c r="O709" t="str" cm="1">
        <f t="array" ref="O709">_xlfn.IFS(tbl_loans_clean[[#This Row],[Credit_Score]]&lt;650,"580-649",tbl_loans_clean[[#This Row],[Credit_Score]]&lt;700,"650-699",tbl_loans_clean[[#This Row],[Credit_Score]]&lt;750,"700-749",TRUE,"750+")</f>
        <v>650-699</v>
      </c>
    </row>
    <row r="710" spans="1:15" x14ac:dyDescent="0.35">
      <c r="A710" t="s">
        <v>713</v>
      </c>
      <c r="B710" t="s">
        <v>83</v>
      </c>
      <c r="C710" t="s">
        <v>16</v>
      </c>
      <c r="D710" t="s">
        <v>32</v>
      </c>
      <c r="E710">
        <v>392699</v>
      </c>
      <c r="F710">
        <v>3.65</v>
      </c>
      <c r="G710">
        <v>36</v>
      </c>
      <c r="H710">
        <v>156848</v>
      </c>
      <c r="I710">
        <v>619</v>
      </c>
      <c r="J710" t="s">
        <v>35</v>
      </c>
      <c r="K710">
        <v>14.1</v>
      </c>
      <c r="L710">
        <v>37.9</v>
      </c>
      <c r="M710" t="s">
        <v>23</v>
      </c>
      <c r="N710" s="7">
        <v>45487</v>
      </c>
      <c r="O710" t="str" cm="1">
        <f t="array" ref="O710">_xlfn.IFS(tbl_loans_clean[[#This Row],[Credit_Score]]&lt;650,"580-649",tbl_loans_clean[[#This Row],[Credit_Score]]&lt;700,"650-699",tbl_loans_clean[[#This Row],[Credit_Score]]&lt;750,"700-749",TRUE,"750+")</f>
        <v>580-649</v>
      </c>
    </row>
    <row r="711" spans="1:15" x14ac:dyDescent="0.35">
      <c r="A711" t="s">
        <v>641</v>
      </c>
      <c r="B711" t="s">
        <v>30</v>
      </c>
      <c r="C711" t="s">
        <v>16</v>
      </c>
      <c r="D711" t="s">
        <v>32</v>
      </c>
      <c r="E711">
        <v>507648</v>
      </c>
      <c r="F711">
        <v>11.39</v>
      </c>
      <c r="G711">
        <v>36</v>
      </c>
      <c r="H711">
        <v>191639</v>
      </c>
      <c r="I711">
        <v>786</v>
      </c>
      <c r="J711" t="s">
        <v>39</v>
      </c>
      <c r="K711">
        <v>23.3</v>
      </c>
      <c r="L711">
        <v>13.9</v>
      </c>
      <c r="M711" t="s">
        <v>23</v>
      </c>
      <c r="N711" s="7">
        <v>45488</v>
      </c>
      <c r="O711" t="str" cm="1">
        <f t="array" ref="O711">_xlfn.IFS(tbl_loans_clean[[#This Row],[Credit_Score]]&lt;650,"580-649",tbl_loans_clean[[#This Row],[Credit_Score]]&lt;700,"650-699",tbl_loans_clean[[#This Row],[Credit_Score]]&lt;750,"700-749",TRUE,"750+")</f>
        <v>750+</v>
      </c>
    </row>
    <row r="712" spans="1:15" x14ac:dyDescent="0.35">
      <c r="A712" t="s">
        <v>694</v>
      </c>
      <c r="B712" t="s">
        <v>15</v>
      </c>
      <c r="C712" t="s">
        <v>34</v>
      </c>
      <c r="D712" t="s">
        <v>45</v>
      </c>
      <c r="E712">
        <v>51002</v>
      </c>
      <c r="F712">
        <v>12.19</v>
      </c>
      <c r="G712">
        <v>24</v>
      </c>
      <c r="H712">
        <v>115029</v>
      </c>
      <c r="I712">
        <v>600</v>
      </c>
      <c r="J712" t="s">
        <v>18</v>
      </c>
      <c r="K712">
        <v>6.6</v>
      </c>
      <c r="L712">
        <v>10</v>
      </c>
      <c r="M712" t="s">
        <v>23</v>
      </c>
      <c r="N712" s="7">
        <v>45488</v>
      </c>
      <c r="O712" t="str" cm="1">
        <f t="array" ref="O712">_xlfn.IFS(tbl_loans_clean[[#This Row],[Credit_Score]]&lt;650,"580-649",tbl_loans_clean[[#This Row],[Credit_Score]]&lt;700,"650-699",tbl_loans_clean[[#This Row],[Credit_Score]]&lt;750,"700-749",TRUE,"750+")</f>
        <v>580-649</v>
      </c>
    </row>
    <row r="713" spans="1:15" x14ac:dyDescent="0.35">
      <c r="A713" t="s">
        <v>72</v>
      </c>
      <c r="B713" t="s">
        <v>21</v>
      </c>
      <c r="C713" t="s">
        <v>22</v>
      </c>
      <c r="D713" t="s">
        <v>73</v>
      </c>
      <c r="E713">
        <v>744452</v>
      </c>
      <c r="F713">
        <v>10.8</v>
      </c>
      <c r="G713">
        <v>240</v>
      </c>
      <c r="H713">
        <v>33594</v>
      </c>
      <c r="I713">
        <v>635</v>
      </c>
      <c r="J713" t="s">
        <v>18</v>
      </c>
      <c r="K713">
        <v>21.7</v>
      </c>
      <c r="L713">
        <v>34.200000000000003</v>
      </c>
      <c r="M713" t="s">
        <v>23</v>
      </c>
      <c r="N713" s="7">
        <v>45489</v>
      </c>
      <c r="O713" t="str" cm="1">
        <f t="array" ref="O713">_xlfn.IFS(tbl_loans_clean[[#This Row],[Credit_Score]]&lt;650,"580-649",tbl_loans_clean[[#This Row],[Credit_Score]]&lt;700,"650-699",tbl_loans_clean[[#This Row],[Credit_Score]]&lt;750,"700-749",TRUE,"750+")</f>
        <v>580-649</v>
      </c>
    </row>
    <row r="714" spans="1:15" x14ac:dyDescent="0.35">
      <c r="A714" t="s">
        <v>430</v>
      </c>
      <c r="B714" t="s">
        <v>25</v>
      </c>
      <c r="C714" t="s">
        <v>22</v>
      </c>
      <c r="D714" t="s">
        <v>32</v>
      </c>
      <c r="E714">
        <v>284067</v>
      </c>
      <c r="F714">
        <v>5.32</v>
      </c>
      <c r="G714">
        <v>12</v>
      </c>
      <c r="H714">
        <v>97806</v>
      </c>
      <c r="I714">
        <v>714</v>
      </c>
      <c r="J714" t="s">
        <v>18</v>
      </c>
      <c r="K714">
        <v>18.899999999999999</v>
      </c>
      <c r="L714">
        <v>33.6</v>
      </c>
      <c r="M714" t="s">
        <v>19</v>
      </c>
      <c r="N714" s="7">
        <v>45492</v>
      </c>
      <c r="O714" t="str" cm="1">
        <f t="array" ref="O714">_xlfn.IFS(tbl_loans_clean[[#This Row],[Credit_Score]]&lt;650,"580-649",tbl_loans_clean[[#This Row],[Credit_Score]]&lt;700,"650-699",tbl_loans_clean[[#This Row],[Credit_Score]]&lt;750,"700-749",TRUE,"750+")</f>
        <v>700-749</v>
      </c>
    </row>
    <row r="715" spans="1:15" x14ac:dyDescent="0.35">
      <c r="A715" t="s">
        <v>244</v>
      </c>
      <c r="B715" t="s">
        <v>83</v>
      </c>
      <c r="C715" t="s">
        <v>16</v>
      </c>
      <c r="D715" t="s">
        <v>17</v>
      </c>
      <c r="E715">
        <v>343113</v>
      </c>
      <c r="F715">
        <v>7.83</v>
      </c>
      <c r="G715">
        <v>300</v>
      </c>
      <c r="H715">
        <v>144843</v>
      </c>
      <c r="I715">
        <v>795</v>
      </c>
      <c r="J715" t="s">
        <v>18</v>
      </c>
      <c r="K715">
        <v>4.8</v>
      </c>
      <c r="L715">
        <v>30.1</v>
      </c>
      <c r="M715" t="s">
        <v>23</v>
      </c>
      <c r="N715" s="7">
        <v>45493</v>
      </c>
      <c r="O715" t="str" cm="1">
        <f t="array" ref="O715">_xlfn.IFS(tbl_loans_clean[[#This Row],[Credit_Score]]&lt;650,"580-649",tbl_loans_clean[[#This Row],[Credit_Score]]&lt;700,"650-699",tbl_loans_clean[[#This Row],[Credit_Score]]&lt;750,"700-749",TRUE,"750+")</f>
        <v>750+</v>
      </c>
    </row>
    <row r="716" spans="1:15" x14ac:dyDescent="0.35">
      <c r="A716" t="s">
        <v>521</v>
      </c>
      <c r="B716" t="s">
        <v>15</v>
      </c>
      <c r="C716" t="s">
        <v>22</v>
      </c>
      <c r="D716" t="s">
        <v>38</v>
      </c>
      <c r="E716">
        <v>214329</v>
      </c>
      <c r="F716">
        <v>10.54</v>
      </c>
      <c r="G716">
        <v>240</v>
      </c>
      <c r="H716">
        <v>62924</v>
      </c>
      <c r="I716">
        <v>760</v>
      </c>
      <c r="J716" t="s">
        <v>18</v>
      </c>
      <c r="K716">
        <v>5.6</v>
      </c>
      <c r="L716">
        <v>12.8</v>
      </c>
      <c r="M716" t="s">
        <v>19</v>
      </c>
      <c r="N716" s="7">
        <v>45493</v>
      </c>
      <c r="O716" t="str" cm="1">
        <f t="array" ref="O716">_xlfn.IFS(tbl_loans_clean[[#This Row],[Credit_Score]]&lt;650,"580-649",tbl_loans_clean[[#This Row],[Credit_Score]]&lt;700,"650-699",tbl_loans_clean[[#This Row],[Credit_Score]]&lt;750,"700-749",TRUE,"750+")</f>
        <v>750+</v>
      </c>
    </row>
    <row r="717" spans="1:15" x14ac:dyDescent="0.35">
      <c r="A717" t="s">
        <v>772</v>
      </c>
      <c r="B717" t="s">
        <v>30</v>
      </c>
      <c r="C717" t="s">
        <v>22</v>
      </c>
      <c r="D717" t="s">
        <v>17</v>
      </c>
      <c r="E717">
        <v>158484</v>
      </c>
      <c r="F717">
        <v>14.06</v>
      </c>
      <c r="G717">
        <v>36</v>
      </c>
      <c r="H717">
        <v>57086</v>
      </c>
      <c r="I717">
        <v>682</v>
      </c>
      <c r="J717" t="s">
        <v>18</v>
      </c>
      <c r="K717">
        <v>23.4</v>
      </c>
      <c r="L717">
        <v>43.2</v>
      </c>
      <c r="M717" t="s">
        <v>55</v>
      </c>
      <c r="N717" s="7">
        <v>45493</v>
      </c>
      <c r="O717" t="str" cm="1">
        <f t="array" ref="O717">_xlfn.IFS(tbl_loans_clean[[#This Row],[Credit_Score]]&lt;650,"580-649",tbl_loans_clean[[#This Row],[Credit_Score]]&lt;700,"650-699",tbl_loans_clean[[#This Row],[Credit_Score]]&lt;750,"700-749",TRUE,"750+")</f>
        <v>650-699</v>
      </c>
    </row>
    <row r="718" spans="1:15" x14ac:dyDescent="0.35">
      <c r="A718" t="s">
        <v>786</v>
      </c>
      <c r="B718" t="s">
        <v>30</v>
      </c>
      <c r="C718" t="s">
        <v>34</v>
      </c>
      <c r="D718" t="s">
        <v>73</v>
      </c>
      <c r="E718">
        <v>131479</v>
      </c>
      <c r="F718">
        <v>3.32</v>
      </c>
      <c r="G718">
        <v>60</v>
      </c>
      <c r="H718">
        <v>65425</v>
      </c>
      <c r="I718">
        <v>758</v>
      </c>
      <c r="J718" t="s">
        <v>18</v>
      </c>
      <c r="K718">
        <v>16.7</v>
      </c>
      <c r="L718">
        <v>45.5</v>
      </c>
      <c r="M718" t="s">
        <v>19</v>
      </c>
      <c r="N718" s="7">
        <v>45493</v>
      </c>
      <c r="O718" t="str" cm="1">
        <f t="array" ref="O718">_xlfn.IFS(tbl_loans_clean[[#This Row],[Credit_Score]]&lt;650,"580-649",tbl_loans_clean[[#This Row],[Credit_Score]]&lt;700,"650-699",tbl_loans_clean[[#This Row],[Credit_Score]]&lt;750,"700-749",TRUE,"750+")</f>
        <v>750+</v>
      </c>
    </row>
    <row r="719" spans="1:15" x14ac:dyDescent="0.35">
      <c r="A719" t="s">
        <v>309</v>
      </c>
      <c r="B719" t="s">
        <v>28</v>
      </c>
      <c r="C719" t="s">
        <v>22</v>
      </c>
      <c r="D719" t="s">
        <v>17</v>
      </c>
      <c r="E719">
        <v>672505</v>
      </c>
      <c r="F719">
        <v>3.85</v>
      </c>
      <c r="G719">
        <v>60</v>
      </c>
      <c r="H719">
        <v>83798</v>
      </c>
      <c r="I719">
        <v>733</v>
      </c>
      <c r="J719" t="s">
        <v>18</v>
      </c>
      <c r="K719">
        <v>3.9</v>
      </c>
      <c r="L719">
        <v>46</v>
      </c>
      <c r="M719" t="s">
        <v>19</v>
      </c>
      <c r="N719" s="7">
        <v>45494</v>
      </c>
      <c r="O719" t="str" cm="1">
        <f t="array" ref="O719">_xlfn.IFS(tbl_loans_clean[[#This Row],[Credit_Score]]&lt;650,"580-649",tbl_loans_clean[[#This Row],[Credit_Score]]&lt;700,"650-699",tbl_loans_clean[[#This Row],[Credit_Score]]&lt;750,"700-749",TRUE,"750+")</f>
        <v>700-749</v>
      </c>
    </row>
    <row r="720" spans="1:15" x14ac:dyDescent="0.35">
      <c r="A720" t="s">
        <v>594</v>
      </c>
      <c r="B720" t="s">
        <v>15</v>
      </c>
      <c r="C720" t="s">
        <v>22</v>
      </c>
      <c r="D720" t="s">
        <v>38</v>
      </c>
      <c r="E720">
        <v>241562</v>
      </c>
      <c r="F720">
        <v>4</v>
      </c>
      <c r="G720">
        <v>60</v>
      </c>
      <c r="H720">
        <v>130780</v>
      </c>
      <c r="I720">
        <v>839</v>
      </c>
      <c r="J720" t="s">
        <v>18</v>
      </c>
      <c r="K720">
        <v>10.8</v>
      </c>
      <c r="L720">
        <v>20.8</v>
      </c>
      <c r="M720" t="s">
        <v>23</v>
      </c>
      <c r="N720" s="7">
        <v>45494</v>
      </c>
      <c r="O720" t="str" cm="1">
        <f t="array" ref="O720">_xlfn.IFS(tbl_loans_clean[[#This Row],[Credit_Score]]&lt;650,"580-649",tbl_loans_clean[[#This Row],[Credit_Score]]&lt;700,"650-699",tbl_loans_clean[[#This Row],[Credit_Score]]&lt;750,"700-749",TRUE,"750+")</f>
        <v>750+</v>
      </c>
    </row>
    <row r="721" spans="1:15" x14ac:dyDescent="0.35">
      <c r="A721" t="s">
        <v>666</v>
      </c>
      <c r="B721" t="s">
        <v>28</v>
      </c>
      <c r="C721" t="s">
        <v>34</v>
      </c>
      <c r="D721" t="s">
        <v>17</v>
      </c>
      <c r="E721">
        <v>111611</v>
      </c>
      <c r="F721">
        <v>13.95</v>
      </c>
      <c r="G721">
        <v>12</v>
      </c>
      <c r="H721">
        <v>105506</v>
      </c>
      <c r="I721">
        <v>671</v>
      </c>
      <c r="J721" t="s">
        <v>18</v>
      </c>
      <c r="K721">
        <v>4.8</v>
      </c>
      <c r="L721">
        <v>38</v>
      </c>
      <c r="M721" t="s">
        <v>23</v>
      </c>
      <c r="N721" s="7">
        <v>45497</v>
      </c>
      <c r="O721" t="str" cm="1">
        <f t="array" ref="O721">_xlfn.IFS(tbl_loans_clean[[#This Row],[Credit_Score]]&lt;650,"580-649",tbl_loans_clean[[#This Row],[Credit_Score]]&lt;700,"650-699",tbl_loans_clean[[#This Row],[Credit_Score]]&lt;750,"700-749",TRUE,"750+")</f>
        <v>650-699</v>
      </c>
    </row>
    <row r="722" spans="1:15" x14ac:dyDescent="0.35">
      <c r="A722" t="s">
        <v>470</v>
      </c>
      <c r="B722" t="s">
        <v>30</v>
      </c>
      <c r="C722" t="s">
        <v>34</v>
      </c>
      <c r="D722" t="s">
        <v>17</v>
      </c>
      <c r="E722">
        <v>343384</v>
      </c>
      <c r="F722">
        <v>13.38</v>
      </c>
      <c r="G722">
        <v>120</v>
      </c>
      <c r="H722">
        <v>47023</v>
      </c>
      <c r="I722">
        <v>825</v>
      </c>
      <c r="J722" t="s">
        <v>18</v>
      </c>
      <c r="K722">
        <v>16.399999999999999</v>
      </c>
      <c r="L722">
        <v>21.7</v>
      </c>
      <c r="M722" t="s">
        <v>23</v>
      </c>
      <c r="N722" s="7">
        <v>45500</v>
      </c>
      <c r="O722" t="str" cm="1">
        <f t="array" ref="O722">_xlfn.IFS(tbl_loans_clean[[#This Row],[Credit_Score]]&lt;650,"580-649",tbl_loans_clean[[#This Row],[Credit_Score]]&lt;700,"650-699",tbl_loans_clean[[#This Row],[Credit_Score]]&lt;750,"700-749",TRUE,"750+")</f>
        <v>750+</v>
      </c>
    </row>
    <row r="723" spans="1:15" x14ac:dyDescent="0.35">
      <c r="A723" t="s">
        <v>816</v>
      </c>
      <c r="B723" t="s">
        <v>25</v>
      </c>
      <c r="C723" t="s">
        <v>22</v>
      </c>
      <c r="D723" t="s">
        <v>45</v>
      </c>
      <c r="E723">
        <v>362246</v>
      </c>
      <c r="F723">
        <v>13.42</v>
      </c>
      <c r="G723">
        <v>12</v>
      </c>
      <c r="H723">
        <v>81639</v>
      </c>
      <c r="I723">
        <v>775</v>
      </c>
      <c r="J723" t="s">
        <v>18</v>
      </c>
      <c r="K723">
        <v>1</v>
      </c>
      <c r="L723">
        <v>45.8</v>
      </c>
      <c r="M723" t="s">
        <v>23</v>
      </c>
      <c r="N723" s="7">
        <v>45504</v>
      </c>
      <c r="O723" t="str" cm="1">
        <f t="array" ref="O723">_xlfn.IFS(tbl_loans_clean[[#This Row],[Credit_Score]]&lt;650,"580-649",tbl_loans_clean[[#This Row],[Credit_Score]]&lt;700,"650-699",tbl_loans_clean[[#This Row],[Credit_Score]]&lt;750,"700-749",TRUE,"750+")</f>
        <v>750+</v>
      </c>
    </row>
    <row r="724" spans="1:15" x14ac:dyDescent="0.35">
      <c r="A724" t="s">
        <v>405</v>
      </c>
      <c r="B724" t="s">
        <v>15</v>
      </c>
      <c r="C724" t="s">
        <v>16</v>
      </c>
      <c r="D724" t="s">
        <v>32</v>
      </c>
      <c r="E724">
        <v>116715</v>
      </c>
      <c r="F724">
        <v>10.78</v>
      </c>
      <c r="G724">
        <v>300</v>
      </c>
      <c r="H724">
        <v>123386</v>
      </c>
      <c r="I724">
        <v>591</v>
      </c>
      <c r="J724" t="s">
        <v>18</v>
      </c>
      <c r="K724">
        <v>18.2</v>
      </c>
      <c r="L724">
        <v>29.7</v>
      </c>
      <c r="M724" t="s">
        <v>23</v>
      </c>
      <c r="N724" s="7">
        <v>45505</v>
      </c>
      <c r="O724" t="str" cm="1">
        <f t="array" ref="O724">_xlfn.IFS(tbl_loans_clean[[#This Row],[Credit_Score]]&lt;650,"580-649",tbl_loans_clean[[#This Row],[Credit_Score]]&lt;700,"650-699",tbl_loans_clean[[#This Row],[Credit_Score]]&lt;750,"700-749",TRUE,"750+")</f>
        <v>580-649</v>
      </c>
    </row>
    <row r="725" spans="1:15" x14ac:dyDescent="0.35">
      <c r="A725" t="s">
        <v>732</v>
      </c>
      <c r="B725" t="s">
        <v>30</v>
      </c>
      <c r="C725" t="s">
        <v>22</v>
      </c>
      <c r="D725" t="s">
        <v>45</v>
      </c>
      <c r="E725">
        <v>358646</v>
      </c>
      <c r="F725">
        <v>7.05</v>
      </c>
      <c r="G725">
        <v>300</v>
      </c>
      <c r="H725">
        <v>163994</v>
      </c>
      <c r="I725">
        <v>641</v>
      </c>
      <c r="J725" t="s">
        <v>18</v>
      </c>
      <c r="K725">
        <v>16.8</v>
      </c>
      <c r="L725">
        <v>37.4</v>
      </c>
      <c r="M725" t="s">
        <v>55</v>
      </c>
      <c r="N725" s="7">
        <v>45505</v>
      </c>
      <c r="O725" t="str" cm="1">
        <f t="array" ref="O725">_xlfn.IFS(tbl_loans_clean[[#This Row],[Credit_Score]]&lt;650,"580-649",tbl_loans_clean[[#This Row],[Credit_Score]]&lt;700,"650-699",tbl_loans_clean[[#This Row],[Credit_Score]]&lt;750,"700-749",TRUE,"750+")</f>
        <v>580-649</v>
      </c>
    </row>
    <row r="726" spans="1:15" x14ac:dyDescent="0.35">
      <c r="A726" t="s">
        <v>295</v>
      </c>
      <c r="B726" t="s">
        <v>30</v>
      </c>
      <c r="C726" t="s">
        <v>34</v>
      </c>
      <c r="D726" t="s">
        <v>73</v>
      </c>
      <c r="E726">
        <v>487616</v>
      </c>
      <c r="F726">
        <v>9.02</v>
      </c>
      <c r="G726">
        <v>60</v>
      </c>
      <c r="H726">
        <v>131844</v>
      </c>
      <c r="I726">
        <v>768</v>
      </c>
      <c r="J726" t="s">
        <v>39</v>
      </c>
      <c r="K726">
        <v>19.3</v>
      </c>
      <c r="L726">
        <v>41.3</v>
      </c>
      <c r="M726" t="s">
        <v>23</v>
      </c>
      <c r="N726" s="7">
        <v>45508</v>
      </c>
      <c r="O726" t="str" cm="1">
        <f t="array" ref="O726">_xlfn.IFS(tbl_loans_clean[[#This Row],[Credit_Score]]&lt;650,"580-649",tbl_loans_clean[[#This Row],[Credit_Score]]&lt;700,"650-699",tbl_loans_clean[[#This Row],[Credit_Score]]&lt;750,"700-749",TRUE,"750+")</f>
        <v>750+</v>
      </c>
    </row>
    <row r="727" spans="1:15" x14ac:dyDescent="0.35">
      <c r="A727" t="s">
        <v>503</v>
      </c>
      <c r="B727" t="s">
        <v>28</v>
      </c>
      <c r="C727" t="s">
        <v>16</v>
      </c>
      <c r="D727" t="s">
        <v>32</v>
      </c>
      <c r="E727">
        <v>557439</v>
      </c>
      <c r="F727">
        <v>10.26</v>
      </c>
      <c r="G727">
        <v>240</v>
      </c>
      <c r="H727">
        <v>31729</v>
      </c>
      <c r="I727">
        <v>829</v>
      </c>
      <c r="J727" t="s">
        <v>18</v>
      </c>
      <c r="K727">
        <v>20.6</v>
      </c>
      <c r="L727">
        <v>12.5</v>
      </c>
      <c r="M727" t="s">
        <v>19</v>
      </c>
      <c r="N727" s="7">
        <v>45509</v>
      </c>
      <c r="O727" t="str" cm="1">
        <f t="array" ref="O727">_xlfn.IFS(tbl_loans_clean[[#This Row],[Credit_Score]]&lt;650,"580-649",tbl_loans_clean[[#This Row],[Credit_Score]]&lt;700,"650-699",tbl_loans_clean[[#This Row],[Credit_Score]]&lt;750,"700-749",TRUE,"750+")</f>
        <v>750+</v>
      </c>
    </row>
    <row r="728" spans="1:15" x14ac:dyDescent="0.35">
      <c r="A728" t="s">
        <v>136</v>
      </c>
      <c r="B728" t="s">
        <v>15</v>
      </c>
      <c r="C728" t="s">
        <v>22</v>
      </c>
      <c r="D728" t="s">
        <v>17</v>
      </c>
      <c r="E728">
        <v>155023</v>
      </c>
      <c r="F728">
        <v>4.24</v>
      </c>
      <c r="G728">
        <v>12</v>
      </c>
      <c r="H728">
        <v>192439</v>
      </c>
      <c r="I728">
        <v>644</v>
      </c>
      <c r="J728" t="s">
        <v>18</v>
      </c>
      <c r="K728">
        <v>24.5</v>
      </c>
      <c r="L728">
        <v>16.8</v>
      </c>
      <c r="M728" t="s">
        <v>19</v>
      </c>
      <c r="N728" s="7">
        <v>45512</v>
      </c>
      <c r="O728" t="str" cm="1">
        <f t="array" ref="O728">_xlfn.IFS(tbl_loans_clean[[#This Row],[Credit_Score]]&lt;650,"580-649",tbl_loans_clean[[#This Row],[Credit_Score]]&lt;700,"650-699",tbl_loans_clean[[#This Row],[Credit_Score]]&lt;750,"700-749",TRUE,"750+")</f>
        <v>580-649</v>
      </c>
    </row>
    <row r="729" spans="1:15" x14ac:dyDescent="0.35">
      <c r="A729" t="s">
        <v>90</v>
      </c>
      <c r="B729" t="s">
        <v>21</v>
      </c>
      <c r="C729" t="s">
        <v>22</v>
      </c>
      <c r="D729" t="s">
        <v>17</v>
      </c>
      <c r="E729">
        <v>440477</v>
      </c>
      <c r="F729">
        <v>11.48</v>
      </c>
      <c r="G729">
        <v>12</v>
      </c>
      <c r="H729">
        <v>113959</v>
      </c>
      <c r="I729">
        <v>725</v>
      </c>
      <c r="J729" t="s">
        <v>18</v>
      </c>
      <c r="K729">
        <v>12.1</v>
      </c>
      <c r="L729">
        <v>46.4</v>
      </c>
      <c r="M729" t="s">
        <v>23</v>
      </c>
      <c r="N729" s="7">
        <v>45520</v>
      </c>
      <c r="O729" t="str" cm="1">
        <f t="array" ref="O729">_xlfn.IFS(tbl_loans_clean[[#This Row],[Credit_Score]]&lt;650,"580-649",tbl_loans_clean[[#This Row],[Credit_Score]]&lt;700,"650-699",tbl_loans_clean[[#This Row],[Credit_Score]]&lt;750,"700-749",TRUE,"750+")</f>
        <v>700-749</v>
      </c>
    </row>
    <row r="730" spans="1:15" x14ac:dyDescent="0.35">
      <c r="A730" t="s">
        <v>652</v>
      </c>
      <c r="B730" t="s">
        <v>30</v>
      </c>
      <c r="C730" t="s">
        <v>22</v>
      </c>
      <c r="D730" t="s">
        <v>38</v>
      </c>
      <c r="E730">
        <v>203784</v>
      </c>
      <c r="F730">
        <v>5.41</v>
      </c>
      <c r="G730">
        <v>24</v>
      </c>
      <c r="H730">
        <v>159870</v>
      </c>
      <c r="I730">
        <v>586</v>
      </c>
      <c r="J730" t="s">
        <v>18</v>
      </c>
      <c r="K730">
        <v>23.9</v>
      </c>
      <c r="L730">
        <v>39.1</v>
      </c>
      <c r="M730" t="s">
        <v>23</v>
      </c>
      <c r="N730" s="7">
        <v>45523</v>
      </c>
      <c r="O730" t="str" cm="1">
        <f t="array" ref="O730">_xlfn.IFS(tbl_loans_clean[[#This Row],[Credit_Score]]&lt;650,"580-649",tbl_loans_clean[[#This Row],[Credit_Score]]&lt;700,"650-699",tbl_loans_clean[[#This Row],[Credit_Score]]&lt;750,"700-749",TRUE,"750+")</f>
        <v>580-649</v>
      </c>
    </row>
    <row r="731" spans="1:15" x14ac:dyDescent="0.35">
      <c r="A731" t="s">
        <v>705</v>
      </c>
      <c r="B731" t="s">
        <v>30</v>
      </c>
      <c r="C731" t="s">
        <v>16</v>
      </c>
      <c r="D731" t="s">
        <v>32</v>
      </c>
      <c r="E731">
        <v>633889</v>
      </c>
      <c r="F731">
        <v>10.29</v>
      </c>
      <c r="G731">
        <v>12</v>
      </c>
      <c r="H731">
        <v>146680</v>
      </c>
      <c r="I731">
        <v>777</v>
      </c>
      <c r="J731" t="s">
        <v>26</v>
      </c>
      <c r="K731">
        <v>4.3</v>
      </c>
      <c r="L731">
        <v>46.2</v>
      </c>
      <c r="M731" t="s">
        <v>23</v>
      </c>
      <c r="N731" s="7">
        <v>45523</v>
      </c>
      <c r="O731" t="str" cm="1">
        <f t="array" ref="O731">_xlfn.IFS(tbl_loans_clean[[#This Row],[Credit_Score]]&lt;650,"580-649",tbl_loans_clean[[#This Row],[Credit_Score]]&lt;700,"650-699",tbl_loans_clean[[#This Row],[Credit_Score]]&lt;750,"700-749",TRUE,"750+")</f>
        <v>750+</v>
      </c>
    </row>
    <row r="732" spans="1:15" x14ac:dyDescent="0.35">
      <c r="A732" t="s">
        <v>194</v>
      </c>
      <c r="B732" t="s">
        <v>15</v>
      </c>
      <c r="C732" t="s">
        <v>34</v>
      </c>
      <c r="D732" t="s">
        <v>17</v>
      </c>
      <c r="E732">
        <v>413288</v>
      </c>
      <c r="F732">
        <v>5.62</v>
      </c>
      <c r="G732">
        <v>24</v>
      </c>
      <c r="H732">
        <v>59728</v>
      </c>
      <c r="I732">
        <v>622</v>
      </c>
      <c r="J732" t="s">
        <v>18</v>
      </c>
      <c r="K732">
        <v>22.2</v>
      </c>
      <c r="L732">
        <v>15.3</v>
      </c>
      <c r="M732" t="s">
        <v>23</v>
      </c>
      <c r="N732" s="7">
        <v>45524</v>
      </c>
      <c r="O732" t="str" cm="1">
        <f t="array" ref="O732">_xlfn.IFS(tbl_loans_clean[[#This Row],[Credit_Score]]&lt;650,"580-649",tbl_loans_clean[[#This Row],[Credit_Score]]&lt;700,"650-699",tbl_loans_clean[[#This Row],[Credit_Score]]&lt;750,"700-749",TRUE,"750+")</f>
        <v>580-649</v>
      </c>
    </row>
    <row r="733" spans="1:15" x14ac:dyDescent="0.35">
      <c r="A733" t="s">
        <v>731</v>
      </c>
      <c r="B733" t="s">
        <v>30</v>
      </c>
      <c r="C733" t="s">
        <v>22</v>
      </c>
      <c r="D733" t="s">
        <v>17</v>
      </c>
      <c r="E733">
        <v>183048</v>
      </c>
      <c r="F733">
        <v>5.51</v>
      </c>
      <c r="G733">
        <v>240</v>
      </c>
      <c r="H733">
        <v>144582</v>
      </c>
      <c r="I733">
        <v>642</v>
      </c>
      <c r="J733" t="s">
        <v>18</v>
      </c>
      <c r="K733">
        <v>21.7</v>
      </c>
      <c r="L733">
        <v>14.6</v>
      </c>
      <c r="M733" t="s">
        <v>19</v>
      </c>
      <c r="N733" s="7">
        <v>45524</v>
      </c>
      <c r="O733" t="str" cm="1">
        <f t="array" ref="O733">_xlfn.IFS(tbl_loans_clean[[#This Row],[Credit_Score]]&lt;650,"580-649",tbl_loans_clean[[#This Row],[Credit_Score]]&lt;700,"650-699",tbl_loans_clean[[#This Row],[Credit_Score]]&lt;750,"700-749",TRUE,"750+")</f>
        <v>580-649</v>
      </c>
    </row>
    <row r="734" spans="1:15" x14ac:dyDescent="0.35">
      <c r="A734" t="s">
        <v>80</v>
      </c>
      <c r="B734" t="s">
        <v>15</v>
      </c>
      <c r="C734" t="s">
        <v>16</v>
      </c>
      <c r="D734" t="s">
        <v>43</v>
      </c>
      <c r="E734">
        <v>690763</v>
      </c>
      <c r="F734">
        <v>3.34</v>
      </c>
      <c r="G734">
        <v>60</v>
      </c>
      <c r="H734">
        <v>133573</v>
      </c>
      <c r="I734">
        <v>750</v>
      </c>
      <c r="J734" t="s">
        <v>18</v>
      </c>
      <c r="K734">
        <v>8</v>
      </c>
      <c r="L734">
        <v>13.1</v>
      </c>
      <c r="M734" t="s">
        <v>23</v>
      </c>
      <c r="N734" s="7">
        <v>45526</v>
      </c>
      <c r="O734" t="str" cm="1">
        <f t="array" ref="O734">_xlfn.IFS(tbl_loans_clean[[#This Row],[Credit_Score]]&lt;650,"580-649",tbl_loans_clean[[#This Row],[Credit_Score]]&lt;700,"650-699",tbl_loans_clean[[#This Row],[Credit_Score]]&lt;750,"700-749",TRUE,"750+")</f>
        <v>750+</v>
      </c>
    </row>
    <row r="735" spans="1:15" x14ac:dyDescent="0.35">
      <c r="A735" t="s">
        <v>445</v>
      </c>
      <c r="B735" t="s">
        <v>25</v>
      </c>
      <c r="C735" t="s">
        <v>22</v>
      </c>
      <c r="D735" t="s">
        <v>17</v>
      </c>
      <c r="E735">
        <v>138172</v>
      </c>
      <c r="F735">
        <v>11.05</v>
      </c>
      <c r="G735">
        <v>24</v>
      </c>
      <c r="H735">
        <v>108428</v>
      </c>
      <c r="I735">
        <v>649</v>
      </c>
      <c r="J735" t="s">
        <v>26</v>
      </c>
      <c r="K735">
        <v>10.4</v>
      </c>
      <c r="L735">
        <v>48</v>
      </c>
      <c r="M735" t="s">
        <v>55</v>
      </c>
      <c r="N735" s="7">
        <v>45526</v>
      </c>
      <c r="O735" t="str" cm="1">
        <f t="array" ref="O735">_xlfn.IFS(tbl_loans_clean[[#This Row],[Credit_Score]]&lt;650,"580-649",tbl_loans_clean[[#This Row],[Credit_Score]]&lt;700,"650-699",tbl_loans_clean[[#This Row],[Credit_Score]]&lt;750,"700-749",TRUE,"750+")</f>
        <v>580-649</v>
      </c>
    </row>
    <row r="736" spans="1:15" x14ac:dyDescent="0.35">
      <c r="A736" t="s">
        <v>175</v>
      </c>
      <c r="B736" t="s">
        <v>71</v>
      </c>
      <c r="C736" t="s">
        <v>22</v>
      </c>
      <c r="D736" t="s">
        <v>17</v>
      </c>
      <c r="E736">
        <v>565592</v>
      </c>
      <c r="F736">
        <v>4.25</v>
      </c>
      <c r="G736">
        <v>36</v>
      </c>
      <c r="H736">
        <v>173486</v>
      </c>
      <c r="I736">
        <v>709</v>
      </c>
      <c r="J736" t="s">
        <v>18</v>
      </c>
      <c r="K736">
        <v>13.9</v>
      </c>
      <c r="L736">
        <v>31.7</v>
      </c>
      <c r="M736" t="s">
        <v>19</v>
      </c>
      <c r="N736" s="7">
        <v>45528</v>
      </c>
      <c r="O736" t="str" cm="1">
        <f t="array" ref="O736">_xlfn.IFS(tbl_loans_clean[[#This Row],[Credit_Score]]&lt;650,"580-649",tbl_loans_clean[[#This Row],[Credit_Score]]&lt;700,"650-699",tbl_loans_clean[[#This Row],[Credit_Score]]&lt;750,"700-749",TRUE,"750+")</f>
        <v>700-749</v>
      </c>
    </row>
    <row r="737" spans="1:15" x14ac:dyDescent="0.35">
      <c r="A737" t="s">
        <v>300</v>
      </c>
      <c r="B737" t="s">
        <v>30</v>
      </c>
      <c r="C737" t="s">
        <v>16</v>
      </c>
      <c r="D737" t="s">
        <v>38</v>
      </c>
      <c r="E737">
        <v>667550</v>
      </c>
      <c r="F737">
        <v>13.27</v>
      </c>
      <c r="G737">
        <v>120</v>
      </c>
      <c r="H737">
        <v>55843</v>
      </c>
      <c r="I737">
        <v>697</v>
      </c>
      <c r="J737" t="s">
        <v>35</v>
      </c>
      <c r="K737">
        <v>19.600000000000001</v>
      </c>
      <c r="L737">
        <v>29.1</v>
      </c>
      <c r="M737" t="s">
        <v>23</v>
      </c>
      <c r="N737" s="7">
        <v>45529</v>
      </c>
      <c r="O737" t="str" cm="1">
        <f t="array" ref="O737">_xlfn.IFS(tbl_loans_clean[[#This Row],[Credit_Score]]&lt;650,"580-649",tbl_loans_clean[[#This Row],[Credit_Score]]&lt;700,"650-699",tbl_loans_clean[[#This Row],[Credit_Score]]&lt;750,"700-749",TRUE,"750+")</f>
        <v>650-699</v>
      </c>
    </row>
    <row r="738" spans="1:15" x14ac:dyDescent="0.35">
      <c r="A738" t="s">
        <v>62</v>
      </c>
      <c r="B738" t="s">
        <v>25</v>
      </c>
      <c r="C738" t="s">
        <v>34</v>
      </c>
      <c r="D738" t="s">
        <v>45</v>
      </c>
      <c r="E738">
        <v>489585</v>
      </c>
      <c r="F738">
        <v>12.24</v>
      </c>
      <c r="G738">
        <v>300</v>
      </c>
      <c r="H738">
        <v>122913</v>
      </c>
      <c r="I738">
        <v>638</v>
      </c>
      <c r="J738" t="s">
        <v>26</v>
      </c>
      <c r="K738">
        <v>9.1</v>
      </c>
      <c r="L738">
        <v>33.5</v>
      </c>
      <c r="M738" t="s">
        <v>23</v>
      </c>
      <c r="N738" s="7">
        <v>45531</v>
      </c>
      <c r="O738" t="str" cm="1">
        <f t="array" ref="O738">_xlfn.IFS(tbl_loans_clean[[#This Row],[Credit_Score]]&lt;650,"580-649",tbl_loans_clean[[#This Row],[Credit_Score]]&lt;700,"650-699",tbl_loans_clean[[#This Row],[Credit_Score]]&lt;750,"700-749",TRUE,"750+")</f>
        <v>580-649</v>
      </c>
    </row>
    <row r="739" spans="1:15" x14ac:dyDescent="0.35">
      <c r="A739" t="s">
        <v>399</v>
      </c>
      <c r="B739" t="s">
        <v>15</v>
      </c>
      <c r="C739" t="s">
        <v>34</v>
      </c>
      <c r="D739" t="s">
        <v>32</v>
      </c>
      <c r="E739">
        <v>128106</v>
      </c>
      <c r="F739">
        <v>9.8000000000000007</v>
      </c>
      <c r="G739">
        <v>240</v>
      </c>
      <c r="H739">
        <v>141978</v>
      </c>
      <c r="I739">
        <v>793</v>
      </c>
      <c r="J739" t="s">
        <v>18</v>
      </c>
      <c r="K739">
        <v>7.7</v>
      </c>
      <c r="L739">
        <v>31.9</v>
      </c>
      <c r="M739" t="s">
        <v>23</v>
      </c>
      <c r="N739" s="7">
        <v>45531</v>
      </c>
      <c r="O739" t="str" cm="1">
        <f t="array" ref="O739">_xlfn.IFS(tbl_loans_clean[[#This Row],[Credit_Score]]&lt;650,"580-649",tbl_loans_clean[[#This Row],[Credit_Score]]&lt;700,"650-699",tbl_loans_clean[[#This Row],[Credit_Score]]&lt;750,"700-749",TRUE,"750+")</f>
        <v>750+</v>
      </c>
    </row>
    <row r="740" spans="1:15" x14ac:dyDescent="0.35">
      <c r="A740" t="s">
        <v>364</v>
      </c>
      <c r="B740" t="s">
        <v>28</v>
      </c>
      <c r="C740" t="s">
        <v>34</v>
      </c>
      <c r="D740" t="s">
        <v>45</v>
      </c>
      <c r="E740">
        <v>37441</v>
      </c>
      <c r="F740">
        <v>13.39</v>
      </c>
      <c r="G740">
        <v>240</v>
      </c>
      <c r="H740">
        <v>211791</v>
      </c>
      <c r="I740">
        <v>686</v>
      </c>
      <c r="J740" t="s">
        <v>18</v>
      </c>
      <c r="K740">
        <v>1.9</v>
      </c>
      <c r="L740">
        <v>12.8</v>
      </c>
      <c r="M740" t="s">
        <v>19</v>
      </c>
      <c r="N740" s="7">
        <v>45535</v>
      </c>
      <c r="O740" t="str" cm="1">
        <f t="array" ref="O740">_xlfn.IFS(tbl_loans_clean[[#This Row],[Credit_Score]]&lt;650,"580-649",tbl_loans_clean[[#This Row],[Credit_Score]]&lt;700,"650-699",tbl_loans_clean[[#This Row],[Credit_Score]]&lt;750,"700-749",TRUE,"750+")</f>
        <v>650-699</v>
      </c>
    </row>
    <row r="741" spans="1:15" x14ac:dyDescent="0.35">
      <c r="A741" t="s">
        <v>546</v>
      </c>
      <c r="B741" t="s">
        <v>28</v>
      </c>
      <c r="C741" t="s">
        <v>16</v>
      </c>
      <c r="D741" t="s">
        <v>38</v>
      </c>
      <c r="E741">
        <v>28091</v>
      </c>
      <c r="F741">
        <v>3.42</v>
      </c>
      <c r="G741">
        <v>48</v>
      </c>
      <c r="H741">
        <v>160450</v>
      </c>
      <c r="I741">
        <v>834</v>
      </c>
      <c r="J741" t="s">
        <v>18</v>
      </c>
      <c r="K741">
        <v>20.9</v>
      </c>
      <c r="L741">
        <v>15.5</v>
      </c>
      <c r="M741" t="s">
        <v>23</v>
      </c>
      <c r="N741" s="7">
        <v>45535</v>
      </c>
      <c r="O741" t="str" cm="1">
        <f t="array" ref="O741">_xlfn.IFS(tbl_loans_clean[[#This Row],[Credit_Score]]&lt;650,"580-649",tbl_loans_clean[[#This Row],[Credit_Score]]&lt;700,"650-699",tbl_loans_clean[[#This Row],[Credit_Score]]&lt;750,"700-749",TRUE,"750+")</f>
        <v>750+</v>
      </c>
    </row>
    <row r="742" spans="1:15" x14ac:dyDescent="0.35">
      <c r="A742" t="s">
        <v>582</v>
      </c>
      <c r="B742" t="s">
        <v>21</v>
      </c>
      <c r="C742" t="s">
        <v>22</v>
      </c>
      <c r="D742" t="s">
        <v>38</v>
      </c>
      <c r="E742">
        <v>113042</v>
      </c>
      <c r="F742">
        <v>14.2</v>
      </c>
      <c r="G742">
        <v>36</v>
      </c>
      <c r="H742">
        <v>199653</v>
      </c>
      <c r="I742">
        <v>589</v>
      </c>
      <c r="J742" t="s">
        <v>18</v>
      </c>
      <c r="K742">
        <v>10</v>
      </c>
      <c r="L742">
        <v>37</v>
      </c>
      <c r="M742" t="s">
        <v>48</v>
      </c>
      <c r="N742" s="7">
        <v>45537</v>
      </c>
      <c r="O742" t="str" cm="1">
        <f t="array" ref="O742">_xlfn.IFS(tbl_loans_clean[[#This Row],[Credit_Score]]&lt;650,"580-649",tbl_loans_clean[[#This Row],[Credit_Score]]&lt;700,"650-699",tbl_loans_clean[[#This Row],[Credit_Score]]&lt;750,"700-749",TRUE,"750+")</f>
        <v>580-649</v>
      </c>
    </row>
    <row r="743" spans="1:15" x14ac:dyDescent="0.35">
      <c r="A743" t="s">
        <v>805</v>
      </c>
      <c r="B743" t="s">
        <v>25</v>
      </c>
      <c r="C743" t="s">
        <v>22</v>
      </c>
      <c r="D743" t="s">
        <v>32</v>
      </c>
      <c r="E743">
        <v>74087</v>
      </c>
      <c r="F743">
        <v>9.93</v>
      </c>
      <c r="G743">
        <v>240</v>
      </c>
      <c r="H743">
        <v>182721</v>
      </c>
      <c r="I743">
        <v>764</v>
      </c>
      <c r="J743" t="s">
        <v>26</v>
      </c>
      <c r="K743">
        <v>21.6</v>
      </c>
      <c r="L743">
        <v>28.6</v>
      </c>
      <c r="M743" t="s">
        <v>48</v>
      </c>
      <c r="N743" s="7">
        <v>45538</v>
      </c>
      <c r="O743" t="str" cm="1">
        <f t="array" ref="O743">_xlfn.IFS(tbl_loans_clean[[#This Row],[Credit_Score]]&lt;650,"580-649",tbl_loans_clean[[#This Row],[Credit_Score]]&lt;700,"650-699",tbl_loans_clean[[#This Row],[Credit_Score]]&lt;750,"700-749",TRUE,"750+")</f>
        <v>750+</v>
      </c>
    </row>
    <row r="744" spans="1:15" x14ac:dyDescent="0.35">
      <c r="A744" t="s">
        <v>820</v>
      </c>
      <c r="B744" t="s">
        <v>28</v>
      </c>
      <c r="C744" t="s">
        <v>16</v>
      </c>
      <c r="D744" t="s">
        <v>32</v>
      </c>
      <c r="E744">
        <v>393518</v>
      </c>
      <c r="F744">
        <v>3.28</v>
      </c>
      <c r="G744">
        <v>120</v>
      </c>
      <c r="H744">
        <v>172740</v>
      </c>
      <c r="I744">
        <v>777</v>
      </c>
      <c r="J744" t="s">
        <v>18</v>
      </c>
      <c r="K744">
        <v>16.7</v>
      </c>
      <c r="L744">
        <v>16</v>
      </c>
      <c r="M744" t="s">
        <v>19</v>
      </c>
      <c r="N744" s="7">
        <v>45538</v>
      </c>
      <c r="O744" t="str" cm="1">
        <f t="array" ref="O744">_xlfn.IFS(tbl_loans_clean[[#This Row],[Credit_Score]]&lt;650,"580-649",tbl_loans_clean[[#This Row],[Credit_Score]]&lt;700,"650-699",tbl_loans_clean[[#This Row],[Credit_Score]]&lt;750,"700-749",TRUE,"750+")</f>
        <v>750+</v>
      </c>
    </row>
    <row r="745" spans="1:15" x14ac:dyDescent="0.35">
      <c r="A745" t="s">
        <v>840</v>
      </c>
      <c r="B745" t="s">
        <v>28</v>
      </c>
      <c r="C745" t="s">
        <v>22</v>
      </c>
      <c r="D745" t="s">
        <v>45</v>
      </c>
      <c r="E745">
        <v>399754</v>
      </c>
      <c r="F745">
        <v>8.77</v>
      </c>
      <c r="G745">
        <v>48</v>
      </c>
      <c r="H745">
        <v>190947</v>
      </c>
      <c r="I745">
        <v>596</v>
      </c>
      <c r="J745" t="s">
        <v>18</v>
      </c>
      <c r="K745">
        <v>22</v>
      </c>
      <c r="L745">
        <v>20.100000000000001</v>
      </c>
      <c r="M745" t="s">
        <v>23</v>
      </c>
      <c r="N745" s="7">
        <v>45545</v>
      </c>
      <c r="O745" t="str" cm="1">
        <f t="array" ref="O745">_xlfn.IFS(tbl_loans_clean[[#This Row],[Credit_Score]]&lt;650,"580-649",tbl_loans_clean[[#This Row],[Credit_Score]]&lt;700,"650-699",tbl_loans_clean[[#This Row],[Credit_Score]]&lt;750,"700-749",TRUE,"750+")</f>
        <v>580-649</v>
      </c>
    </row>
    <row r="746" spans="1:15" x14ac:dyDescent="0.35">
      <c r="A746" t="s">
        <v>687</v>
      </c>
      <c r="B746" t="s">
        <v>83</v>
      </c>
      <c r="C746" t="s">
        <v>22</v>
      </c>
      <c r="D746" t="s">
        <v>32</v>
      </c>
      <c r="E746">
        <v>39540</v>
      </c>
      <c r="F746">
        <v>4.82</v>
      </c>
      <c r="G746">
        <v>24</v>
      </c>
      <c r="H746">
        <v>84240</v>
      </c>
      <c r="I746">
        <v>622</v>
      </c>
      <c r="J746" t="s">
        <v>39</v>
      </c>
      <c r="K746">
        <v>0.1</v>
      </c>
      <c r="L746">
        <v>35.6</v>
      </c>
      <c r="M746" t="s">
        <v>19</v>
      </c>
      <c r="N746" s="7">
        <v>45546</v>
      </c>
      <c r="O746" t="str" cm="1">
        <f t="array" ref="O746">_xlfn.IFS(tbl_loans_clean[[#This Row],[Credit_Score]]&lt;650,"580-649",tbl_loans_clean[[#This Row],[Credit_Score]]&lt;700,"650-699",tbl_loans_clean[[#This Row],[Credit_Score]]&lt;750,"700-749",TRUE,"750+")</f>
        <v>580-649</v>
      </c>
    </row>
    <row r="747" spans="1:15" x14ac:dyDescent="0.35">
      <c r="A747" t="s">
        <v>778</v>
      </c>
      <c r="B747" t="s">
        <v>15</v>
      </c>
      <c r="C747" t="s">
        <v>22</v>
      </c>
      <c r="D747" t="s">
        <v>32</v>
      </c>
      <c r="E747">
        <v>554999</v>
      </c>
      <c r="F747">
        <v>6.79</v>
      </c>
      <c r="G747">
        <v>120</v>
      </c>
      <c r="H747">
        <v>206838</v>
      </c>
      <c r="I747">
        <v>661</v>
      </c>
      <c r="J747" t="s">
        <v>18</v>
      </c>
      <c r="K747">
        <v>3.9</v>
      </c>
      <c r="L747">
        <v>9</v>
      </c>
      <c r="M747" t="s">
        <v>23</v>
      </c>
      <c r="N747" s="7">
        <v>45548</v>
      </c>
      <c r="O747" t="str" cm="1">
        <f t="array" ref="O747">_xlfn.IFS(tbl_loans_clean[[#This Row],[Credit_Score]]&lt;650,"580-649",tbl_loans_clean[[#This Row],[Credit_Score]]&lt;700,"650-699",tbl_loans_clean[[#This Row],[Credit_Score]]&lt;750,"700-749",TRUE,"750+")</f>
        <v>650-699</v>
      </c>
    </row>
    <row r="748" spans="1:15" x14ac:dyDescent="0.35">
      <c r="A748" t="s">
        <v>103</v>
      </c>
      <c r="B748" t="s">
        <v>30</v>
      </c>
      <c r="C748" t="s">
        <v>22</v>
      </c>
      <c r="D748" t="s">
        <v>32</v>
      </c>
      <c r="E748">
        <v>669929</v>
      </c>
      <c r="F748">
        <v>10.34</v>
      </c>
      <c r="G748">
        <v>240</v>
      </c>
      <c r="H748">
        <v>112719</v>
      </c>
      <c r="I748">
        <v>599</v>
      </c>
      <c r="J748" t="s">
        <v>26</v>
      </c>
      <c r="K748">
        <v>23.3</v>
      </c>
      <c r="L748">
        <v>44.3</v>
      </c>
      <c r="M748" t="s">
        <v>23</v>
      </c>
      <c r="N748" s="7">
        <v>45552</v>
      </c>
      <c r="O748" t="str" cm="1">
        <f t="array" ref="O748">_xlfn.IFS(tbl_loans_clean[[#This Row],[Credit_Score]]&lt;650,"580-649",tbl_loans_clean[[#This Row],[Credit_Score]]&lt;700,"650-699",tbl_loans_clean[[#This Row],[Credit_Score]]&lt;750,"700-749",TRUE,"750+")</f>
        <v>580-649</v>
      </c>
    </row>
    <row r="749" spans="1:15" x14ac:dyDescent="0.35">
      <c r="A749" t="s">
        <v>357</v>
      </c>
      <c r="B749" t="s">
        <v>28</v>
      </c>
      <c r="C749" t="s">
        <v>16</v>
      </c>
      <c r="D749" t="s">
        <v>38</v>
      </c>
      <c r="E749">
        <v>96218</v>
      </c>
      <c r="F749">
        <v>5.27</v>
      </c>
      <c r="G749">
        <v>60</v>
      </c>
      <c r="H749">
        <v>70674</v>
      </c>
      <c r="I749">
        <v>650</v>
      </c>
      <c r="J749" t="s">
        <v>18</v>
      </c>
      <c r="K749">
        <v>14</v>
      </c>
      <c r="L749">
        <v>31.2</v>
      </c>
      <c r="M749" t="s">
        <v>19</v>
      </c>
      <c r="N749" s="7">
        <v>45553</v>
      </c>
      <c r="O749" t="str" cm="1">
        <f t="array" ref="O749">_xlfn.IFS(tbl_loans_clean[[#This Row],[Credit_Score]]&lt;650,"580-649",tbl_loans_clean[[#This Row],[Credit_Score]]&lt;700,"650-699",tbl_loans_clean[[#This Row],[Credit_Score]]&lt;750,"700-749",TRUE,"750+")</f>
        <v>650-699</v>
      </c>
    </row>
    <row r="750" spans="1:15" x14ac:dyDescent="0.35">
      <c r="A750" t="s">
        <v>98</v>
      </c>
      <c r="B750" t="s">
        <v>30</v>
      </c>
      <c r="C750" t="s">
        <v>16</v>
      </c>
      <c r="D750" t="s">
        <v>32</v>
      </c>
      <c r="E750">
        <v>353980</v>
      </c>
      <c r="F750">
        <v>3.84</v>
      </c>
      <c r="G750">
        <v>120</v>
      </c>
      <c r="H750">
        <v>204022</v>
      </c>
      <c r="I750">
        <v>830</v>
      </c>
      <c r="J750" t="s">
        <v>18</v>
      </c>
      <c r="K750">
        <v>9</v>
      </c>
      <c r="L750">
        <v>36.799999999999997</v>
      </c>
      <c r="M750" t="s">
        <v>55</v>
      </c>
      <c r="N750" s="7">
        <v>45562</v>
      </c>
      <c r="O750" t="str" cm="1">
        <f t="array" ref="O750">_xlfn.IFS(tbl_loans_clean[[#This Row],[Credit_Score]]&lt;650,"580-649",tbl_loans_clean[[#This Row],[Credit_Score]]&lt;700,"650-699",tbl_loans_clean[[#This Row],[Credit_Score]]&lt;750,"700-749",TRUE,"750+")</f>
        <v>750+</v>
      </c>
    </row>
    <row r="751" spans="1:15" x14ac:dyDescent="0.35">
      <c r="A751" t="s">
        <v>215</v>
      </c>
      <c r="B751" t="s">
        <v>28</v>
      </c>
      <c r="C751" t="s">
        <v>22</v>
      </c>
      <c r="D751" t="s">
        <v>38</v>
      </c>
      <c r="E751">
        <v>345093</v>
      </c>
      <c r="F751">
        <v>7.39</v>
      </c>
      <c r="G751">
        <v>36</v>
      </c>
      <c r="H751">
        <v>91965</v>
      </c>
      <c r="I751">
        <v>749</v>
      </c>
      <c r="J751" t="s">
        <v>18</v>
      </c>
      <c r="K751">
        <v>23.7</v>
      </c>
      <c r="L751">
        <v>42.4</v>
      </c>
      <c r="M751" t="s">
        <v>55</v>
      </c>
      <c r="N751" s="7">
        <v>45562</v>
      </c>
      <c r="O751" t="str" cm="1">
        <f t="array" ref="O751">_xlfn.IFS(tbl_loans_clean[[#This Row],[Credit_Score]]&lt;650,"580-649",tbl_loans_clean[[#This Row],[Credit_Score]]&lt;700,"650-699",tbl_loans_clean[[#This Row],[Credit_Score]]&lt;750,"700-749",TRUE,"750+")</f>
        <v>700-749</v>
      </c>
    </row>
    <row r="752" spans="1:15" x14ac:dyDescent="0.35">
      <c r="A752" t="s">
        <v>331</v>
      </c>
      <c r="B752" t="s">
        <v>28</v>
      </c>
      <c r="C752" t="s">
        <v>22</v>
      </c>
      <c r="D752" t="s">
        <v>52</v>
      </c>
      <c r="E752">
        <v>274160</v>
      </c>
      <c r="F752">
        <v>4.8099999999999996</v>
      </c>
      <c r="G752">
        <v>240</v>
      </c>
      <c r="H752">
        <v>144041</v>
      </c>
      <c r="I752">
        <v>645</v>
      </c>
      <c r="J752" t="s">
        <v>18</v>
      </c>
      <c r="K752">
        <v>20.100000000000001</v>
      </c>
      <c r="L752">
        <v>23.9</v>
      </c>
      <c r="M752" t="s">
        <v>19</v>
      </c>
      <c r="N752" s="7">
        <v>45562</v>
      </c>
      <c r="O752" t="str" cm="1">
        <f t="array" ref="O752">_xlfn.IFS(tbl_loans_clean[[#This Row],[Credit_Score]]&lt;650,"580-649",tbl_loans_clean[[#This Row],[Credit_Score]]&lt;700,"650-699",tbl_loans_clean[[#This Row],[Credit_Score]]&lt;750,"700-749",TRUE,"750+")</f>
        <v>580-649</v>
      </c>
    </row>
    <row r="753" spans="1:15" x14ac:dyDescent="0.35">
      <c r="A753" t="s">
        <v>106</v>
      </c>
      <c r="B753" t="s">
        <v>30</v>
      </c>
      <c r="C753" t="s">
        <v>22</v>
      </c>
      <c r="D753" t="s">
        <v>17</v>
      </c>
      <c r="E753">
        <v>192954</v>
      </c>
      <c r="F753">
        <v>11.69</v>
      </c>
      <c r="G753">
        <v>36</v>
      </c>
      <c r="H753">
        <v>98411</v>
      </c>
      <c r="I753">
        <v>820</v>
      </c>
      <c r="J753" t="s">
        <v>18</v>
      </c>
      <c r="K753">
        <v>16.2</v>
      </c>
      <c r="L753">
        <v>35.700000000000003</v>
      </c>
      <c r="M753" t="s">
        <v>23</v>
      </c>
      <c r="N753" s="7">
        <v>45568</v>
      </c>
      <c r="O753" t="str" cm="1">
        <f t="array" ref="O753">_xlfn.IFS(tbl_loans_clean[[#This Row],[Credit_Score]]&lt;650,"580-649",tbl_loans_clean[[#This Row],[Credit_Score]]&lt;700,"650-699",tbl_loans_clean[[#This Row],[Credit_Score]]&lt;750,"700-749",TRUE,"750+")</f>
        <v>750+</v>
      </c>
    </row>
    <row r="754" spans="1:15" x14ac:dyDescent="0.35">
      <c r="A754" t="s">
        <v>680</v>
      </c>
      <c r="B754" t="s">
        <v>30</v>
      </c>
      <c r="C754" t="s">
        <v>22</v>
      </c>
      <c r="D754" t="s">
        <v>17</v>
      </c>
      <c r="E754">
        <v>276400</v>
      </c>
      <c r="F754">
        <v>5.67</v>
      </c>
      <c r="G754">
        <v>60</v>
      </c>
      <c r="H754">
        <v>48863</v>
      </c>
      <c r="I754">
        <v>750</v>
      </c>
      <c r="J754" t="s">
        <v>18</v>
      </c>
      <c r="K754">
        <v>11.5</v>
      </c>
      <c r="L754">
        <v>10.9</v>
      </c>
      <c r="M754" t="s">
        <v>55</v>
      </c>
      <c r="N754" s="7">
        <v>45571</v>
      </c>
      <c r="O754" t="str" cm="1">
        <f t="array" ref="O754">_xlfn.IFS(tbl_loans_clean[[#This Row],[Credit_Score]]&lt;650,"580-649",tbl_loans_clean[[#This Row],[Credit_Score]]&lt;700,"650-699",tbl_loans_clean[[#This Row],[Credit_Score]]&lt;750,"700-749",TRUE,"750+")</f>
        <v>750+</v>
      </c>
    </row>
    <row r="755" spans="1:15" x14ac:dyDescent="0.35">
      <c r="A755" t="s">
        <v>661</v>
      </c>
      <c r="B755" t="s">
        <v>25</v>
      </c>
      <c r="C755" t="s">
        <v>34</v>
      </c>
      <c r="D755" t="s">
        <v>17</v>
      </c>
      <c r="E755">
        <v>373226</v>
      </c>
      <c r="F755">
        <v>6.91</v>
      </c>
      <c r="G755">
        <v>120</v>
      </c>
      <c r="H755">
        <v>123865</v>
      </c>
      <c r="I755">
        <v>810</v>
      </c>
      <c r="J755" t="s">
        <v>18</v>
      </c>
      <c r="K755">
        <v>2.1</v>
      </c>
      <c r="L755">
        <v>30.5</v>
      </c>
      <c r="M755" t="s">
        <v>23</v>
      </c>
      <c r="N755" s="7">
        <v>45572</v>
      </c>
      <c r="O755" t="str" cm="1">
        <f t="array" ref="O755">_xlfn.IFS(tbl_loans_clean[[#This Row],[Credit_Score]]&lt;650,"580-649",tbl_loans_clean[[#This Row],[Credit_Score]]&lt;700,"650-699",tbl_loans_clean[[#This Row],[Credit_Score]]&lt;750,"700-749",TRUE,"750+")</f>
        <v>750+</v>
      </c>
    </row>
    <row r="756" spans="1:15" x14ac:dyDescent="0.35">
      <c r="A756" t="s">
        <v>644</v>
      </c>
      <c r="B756" t="s">
        <v>30</v>
      </c>
      <c r="C756" t="s">
        <v>22</v>
      </c>
      <c r="D756" t="s">
        <v>32</v>
      </c>
      <c r="E756">
        <v>410513</v>
      </c>
      <c r="F756">
        <v>11.98</v>
      </c>
      <c r="G756">
        <v>300</v>
      </c>
      <c r="H756">
        <v>218271</v>
      </c>
      <c r="I756">
        <v>595</v>
      </c>
      <c r="J756" t="s">
        <v>39</v>
      </c>
      <c r="K756">
        <v>0.5</v>
      </c>
      <c r="L756">
        <v>38.1</v>
      </c>
      <c r="M756" t="s">
        <v>48</v>
      </c>
      <c r="N756" s="7">
        <v>45573</v>
      </c>
      <c r="O756" t="str" cm="1">
        <f t="array" ref="O756">_xlfn.IFS(tbl_loans_clean[[#This Row],[Credit_Score]]&lt;650,"580-649",tbl_loans_clean[[#This Row],[Credit_Score]]&lt;700,"650-699",tbl_loans_clean[[#This Row],[Credit_Score]]&lt;750,"700-749",TRUE,"750+")</f>
        <v>580-649</v>
      </c>
    </row>
    <row r="757" spans="1:15" x14ac:dyDescent="0.35">
      <c r="A757" t="s">
        <v>758</v>
      </c>
      <c r="B757" t="s">
        <v>25</v>
      </c>
      <c r="C757" t="s">
        <v>16</v>
      </c>
      <c r="D757" t="s">
        <v>17</v>
      </c>
      <c r="E757">
        <v>523823</v>
      </c>
      <c r="F757">
        <v>11.93</v>
      </c>
      <c r="G757">
        <v>12</v>
      </c>
      <c r="H757">
        <v>44766</v>
      </c>
      <c r="I757">
        <v>708</v>
      </c>
      <c r="J757" t="s">
        <v>18</v>
      </c>
      <c r="K757">
        <v>16.5</v>
      </c>
      <c r="L757">
        <v>12.1</v>
      </c>
      <c r="M757" t="s">
        <v>23</v>
      </c>
      <c r="N757" s="7">
        <v>45573</v>
      </c>
      <c r="O757" t="str" cm="1">
        <f t="array" ref="O757">_xlfn.IFS(tbl_loans_clean[[#This Row],[Credit_Score]]&lt;650,"580-649",tbl_loans_clean[[#This Row],[Credit_Score]]&lt;700,"650-699",tbl_loans_clean[[#This Row],[Credit_Score]]&lt;750,"700-749",TRUE,"750+")</f>
        <v>700-749</v>
      </c>
    </row>
    <row r="758" spans="1:15" x14ac:dyDescent="0.35">
      <c r="A758" t="s">
        <v>318</v>
      </c>
      <c r="B758" t="s">
        <v>25</v>
      </c>
      <c r="C758" t="s">
        <v>22</v>
      </c>
      <c r="D758" t="s">
        <v>45</v>
      </c>
      <c r="E758">
        <v>351371</v>
      </c>
      <c r="F758">
        <v>9.31</v>
      </c>
      <c r="G758">
        <v>24</v>
      </c>
      <c r="H758">
        <v>201686</v>
      </c>
      <c r="I758">
        <v>832</v>
      </c>
      <c r="J758" t="s">
        <v>18</v>
      </c>
      <c r="K758">
        <v>9.1</v>
      </c>
      <c r="L758">
        <v>15.6</v>
      </c>
      <c r="M758" t="s">
        <v>55</v>
      </c>
      <c r="N758" s="7">
        <v>45576</v>
      </c>
      <c r="O758" t="str" cm="1">
        <f t="array" ref="O758">_xlfn.IFS(tbl_loans_clean[[#This Row],[Credit_Score]]&lt;650,"580-649",tbl_loans_clean[[#This Row],[Credit_Score]]&lt;700,"650-699",tbl_loans_clean[[#This Row],[Credit_Score]]&lt;750,"700-749",TRUE,"750+")</f>
        <v>750+</v>
      </c>
    </row>
    <row r="759" spans="1:15" x14ac:dyDescent="0.35">
      <c r="A759" t="s">
        <v>647</v>
      </c>
      <c r="B759" t="s">
        <v>15</v>
      </c>
      <c r="C759" t="s">
        <v>22</v>
      </c>
      <c r="D759" t="s">
        <v>73</v>
      </c>
      <c r="E759">
        <v>569983</v>
      </c>
      <c r="F759">
        <v>9.2799999999999994</v>
      </c>
      <c r="G759">
        <v>36</v>
      </c>
      <c r="H759">
        <v>89084</v>
      </c>
      <c r="I759">
        <v>616</v>
      </c>
      <c r="J759" t="s">
        <v>18</v>
      </c>
      <c r="K759">
        <v>6.9</v>
      </c>
      <c r="L759">
        <v>34.799999999999997</v>
      </c>
      <c r="M759" t="s">
        <v>23</v>
      </c>
      <c r="N759" s="7">
        <v>45578</v>
      </c>
      <c r="O759" t="str" cm="1">
        <f t="array" ref="O759">_xlfn.IFS(tbl_loans_clean[[#This Row],[Credit_Score]]&lt;650,"580-649",tbl_loans_clean[[#This Row],[Credit_Score]]&lt;700,"650-699",tbl_loans_clean[[#This Row],[Credit_Score]]&lt;750,"700-749",TRUE,"750+")</f>
        <v>580-649</v>
      </c>
    </row>
    <row r="760" spans="1:15" x14ac:dyDescent="0.35">
      <c r="A760" t="s">
        <v>412</v>
      </c>
      <c r="B760" t="s">
        <v>30</v>
      </c>
      <c r="C760" t="s">
        <v>16</v>
      </c>
      <c r="D760" t="s">
        <v>17</v>
      </c>
      <c r="E760">
        <v>493906</v>
      </c>
      <c r="F760">
        <v>13.46</v>
      </c>
      <c r="G760">
        <v>60</v>
      </c>
      <c r="H760">
        <v>153659</v>
      </c>
      <c r="I760">
        <v>587</v>
      </c>
      <c r="J760" t="s">
        <v>26</v>
      </c>
      <c r="K760">
        <v>12.1</v>
      </c>
      <c r="L760">
        <v>23.6</v>
      </c>
      <c r="M760" t="s">
        <v>23</v>
      </c>
      <c r="N760" s="7">
        <v>45580</v>
      </c>
      <c r="O760" t="str" cm="1">
        <f t="array" ref="O760">_xlfn.IFS(tbl_loans_clean[[#This Row],[Credit_Score]]&lt;650,"580-649",tbl_loans_clean[[#This Row],[Credit_Score]]&lt;700,"650-699",tbl_loans_clean[[#This Row],[Credit_Score]]&lt;750,"700-749",TRUE,"750+")</f>
        <v>580-649</v>
      </c>
    </row>
    <row r="761" spans="1:15" x14ac:dyDescent="0.35">
      <c r="A761" t="s">
        <v>624</v>
      </c>
      <c r="B761" t="s">
        <v>15</v>
      </c>
      <c r="C761" t="s">
        <v>34</v>
      </c>
      <c r="D761" t="s">
        <v>17</v>
      </c>
      <c r="E761">
        <v>607248</v>
      </c>
      <c r="F761">
        <v>6.62</v>
      </c>
      <c r="G761">
        <v>240</v>
      </c>
      <c r="H761">
        <v>204318</v>
      </c>
      <c r="I761">
        <v>677</v>
      </c>
      <c r="J761" t="s">
        <v>26</v>
      </c>
      <c r="K761">
        <v>22.6</v>
      </c>
      <c r="L761">
        <v>34.700000000000003</v>
      </c>
      <c r="M761" t="s">
        <v>48</v>
      </c>
      <c r="N761" s="7">
        <v>45580</v>
      </c>
      <c r="O761" t="str" cm="1">
        <f t="array" ref="O761">_xlfn.IFS(tbl_loans_clean[[#This Row],[Credit_Score]]&lt;650,"580-649",tbl_loans_clean[[#This Row],[Credit_Score]]&lt;700,"650-699",tbl_loans_clean[[#This Row],[Credit_Score]]&lt;750,"700-749",TRUE,"750+")</f>
        <v>650-699</v>
      </c>
    </row>
    <row r="762" spans="1:15" x14ac:dyDescent="0.35">
      <c r="A762" t="s">
        <v>735</v>
      </c>
      <c r="B762" t="s">
        <v>30</v>
      </c>
      <c r="C762" t="s">
        <v>22</v>
      </c>
      <c r="D762" t="s">
        <v>32</v>
      </c>
      <c r="E762">
        <v>574383</v>
      </c>
      <c r="F762">
        <v>13.49</v>
      </c>
      <c r="G762">
        <v>120</v>
      </c>
      <c r="H762">
        <v>80335</v>
      </c>
      <c r="I762">
        <v>596</v>
      </c>
      <c r="J762" t="s">
        <v>18</v>
      </c>
      <c r="K762">
        <v>19.100000000000001</v>
      </c>
      <c r="L762">
        <v>32</v>
      </c>
      <c r="M762" t="s">
        <v>23</v>
      </c>
      <c r="N762" s="7">
        <v>45580</v>
      </c>
      <c r="O762" t="str" cm="1">
        <f t="array" ref="O762">_xlfn.IFS(tbl_loans_clean[[#This Row],[Credit_Score]]&lt;650,"580-649",tbl_loans_clean[[#This Row],[Credit_Score]]&lt;700,"650-699",tbl_loans_clean[[#This Row],[Credit_Score]]&lt;750,"700-749",TRUE,"750+")</f>
        <v>580-649</v>
      </c>
    </row>
    <row r="763" spans="1:15" x14ac:dyDescent="0.35">
      <c r="A763" t="s">
        <v>259</v>
      </c>
      <c r="B763" t="s">
        <v>28</v>
      </c>
      <c r="C763" t="s">
        <v>34</v>
      </c>
      <c r="D763" t="s">
        <v>45</v>
      </c>
      <c r="E763">
        <v>590676</v>
      </c>
      <c r="F763">
        <v>9.02</v>
      </c>
      <c r="G763">
        <v>60</v>
      </c>
      <c r="H763">
        <v>165605</v>
      </c>
      <c r="I763">
        <v>624</v>
      </c>
      <c r="J763" t="s">
        <v>39</v>
      </c>
      <c r="K763">
        <v>16.399999999999999</v>
      </c>
      <c r="L763">
        <v>20.8</v>
      </c>
      <c r="M763" t="s">
        <v>23</v>
      </c>
      <c r="N763" s="7">
        <v>45584</v>
      </c>
      <c r="O763" t="str" cm="1">
        <f t="array" ref="O763">_xlfn.IFS(tbl_loans_clean[[#This Row],[Credit_Score]]&lt;650,"580-649",tbl_loans_clean[[#This Row],[Credit_Score]]&lt;700,"650-699",tbl_loans_clean[[#This Row],[Credit_Score]]&lt;750,"700-749",TRUE,"750+")</f>
        <v>580-649</v>
      </c>
    </row>
    <row r="764" spans="1:15" x14ac:dyDescent="0.35">
      <c r="A764" t="s">
        <v>135</v>
      </c>
      <c r="B764" t="s">
        <v>25</v>
      </c>
      <c r="C764" t="s">
        <v>16</v>
      </c>
      <c r="D764" t="s">
        <v>17</v>
      </c>
      <c r="E764">
        <v>512732</v>
      </c>
      <c r="F764">
        <v>6.56</v>
      </c>
      <c r="G764">
        <v>240</v>
      </c>
      <c r="H764">
        <v>146580</v>
      </c>
      <c r="I764">
        <v>605</v>
      </c>
      <c r="J764" t="s">
        <v>18</v>
      </c>
      <c r="K764">
        <v>6.8</v>
      </c>
      <c r="L764">
        <v>38.200000000000003</v>
      </c>
      <c r="M764" t="s">
        <v>19</v>
      </c>
      <c r="N764" s="7">
        <v>45588</v>
      </c>
      <c r="O764" t="str" cm="1">
        <f t="array" ref="O764">_xlfn.IFS(tbl_loans_clean[[#This Row],[Credit_Score]]&lt;650,"580-649",tbl_loans_clean[[#This Row],[Credit_Score]]&lt;700,"650-699",tbl_loans_clean[[#This Row],[Credit_Score]]&lt;750,"700-749",TRUE,"750+")</f>
        <v>580-649</v>
      </c>
    </row>
    <row r="765" spans="1:15" x14ac:dyDescent="0.35">
      <c r="A765" t="s">
        <v>715</v>
      </c>
      <c r="B765" t="s">
        <v>15</v>
      </c>
      <c r="C765" t="s">
        <v>22</v>
      </c>
      <c r="D765" t="s">
        <v>45</v>
      </c>
      <c r="E765">
        <v>287844</v>
      </c>
      <c r="F765">
        <v>5.55</v>
      </c>
      <c r="G765">
        <v>48</v>
      </c>
      <c r="H765">
        <v>104106</v>
      </c>
      <c r="I765">
        <v>706</v>
      </c>
      <c r="J765" t="s">
        <v>26</v>
      </c>
      <c r="K765">
        <v>1</v>
      </c>
      <c r="L765">
        <v>13.6</v>
      </c>
      <c r="M765" t="s">
        <v>23</v>
      </c>
      <c r="N765" s="7">
        <v>45588</v>
      </c>
      <c r="O765" t="str" cm="1">
        <f t="array" ref="O765">_xlfn.IFS(tbl_loans_clean[[#This Row],[Credit_Score]]&lt;650,"580-649",tbl_loans_clean[[#This Row],[Credit_Score]]&lt;700,"650-699",tbl_loans_clean[[#This Row],[Credit_Score]]&lt;750,"700-749",TRUE,"750+")</f>
        <v>700-749</v>
      </c>
    </row>
    <row r="766" spans="1:15" x14ac:dyDescent="0.35">
      <c r="A766" t="s">
        <v>708</v>
      </c>
      <c r="B766" t="s">
        <v>30</v>
      </c>
      <c r="C766" t="s">
        <v>34</v>
      </c>
      <c r="D766" t="s">
        <v>45</v>
      </c>
      <c r="E766">
        <v>730453</v>
      </c>
      <c r="F766">
        <v>8.3800000000000008</v>
      </c>
      <c r="G766">
        <v>48</v>
      </c>
      <c r="H766">
        <v>176369</v>
      </c>
      <c r="I766">
        <v>598</v>
      </c>
      <c r="J766" t="s">
        <v>18</v>
      </c>
      <c r="K766">
        <v>15.4</v>
      </c>
      <c r="L766">
        <v>25</v>
      </c>
      <c r="M766" t="s">
        <v>23</v>
      </c>
      <c r="N766" s="7">
        <v>45589</v>
      </c>
      <c r="O766" t="str" cm="1">
        <f t="array" ref="O766">_xlfn.IFS(tbl_loans_clean[[#This Row],[Credit_Score]]&lt;650,"580-649",tbl_loans_clean[[#This Row],[Credit_Score]]&lt;700,"650-699",tbl_loans_clean[[#This Row],[Credit_Score]]&lt;750,"700-749",TRUE,"750+")</f>
        <v>580-649</v>
      </c>
    </row>
    <row r="767" spans="1:15" x14ac:dyDescent="0.35">
      <c r="A767" t="s">
        <v>832</v>
      </c>
      <c r="B767" t="s">
        <v>30</v>
      </c>
      <c r="C767" t="s">
        <v>16</v>
      </c>
      <c r="D767" t="s">
        <v>17</v>
      </c>
      <c r="E767">
        <v>744804</v>
      </c>
      <c r="F767">
        <v>5.29</v>
      </c>
      <c r="G767">
        <v>120</v>
      </c>
      <c r="H767">
        <v>47065</v>
      </c>
      <c r="I767">
        <v>755</v>
      </c>
      <c r="J767" t="s">
        <v>18</v>
      </c>
      <c r="K767">
        <v>16.2</v>
      </c>
      <c r="L767">
        <v>10.7</v>
      </c>
      <c r="M767" t="s">
        <v>23</v>
      </c>
      <c r="N767" s="7">
        <v>45589</v>
      </c>
      <c r="O767" t="str" cm="1">
        <f t="array" ref="O767">_xlfn.IFS(tbl_loans_clean[[#This Row],[Credit_Score]]&lt;650,"580-649",tbl_loans_clean[[#This Row],[Credit_Score]]&lt;700,"650-699",tbl_loans_clean[[#This Row],[Credit_Score]]&lt;750,"700-749",TRUE,"750+")</f>
        <v>750+</v>
      </c>
    </row>
    <row r="768" spans="1:15" x14ac:dyDescent="0.35">
      <c r="A768" t="s">
        <v>637</v>
      </c>
      <c r="B768" t="s">
        <v>15</v>
      </c>
      <c r="C768" t="s">
        <v>34</v>
      </c>
      <c r="D768" t="s">
        <v>32</v>
      </c>
      <c r="E768">
        <v>156094</v>
      </c>
      <c r="F768">
        <v>12.49</v>
      </c>
      <c r="G768">
        <v>24</v>
      </c>
      <c r="H768">
        <v>215899</v>
      </c>
      <c r="I768">
        <v>623</v>
      </c>
      <c r="J768" t="s">
        <v>18</v>
      </c>
      <c r="K768">
        <v>11.2</v>
      </c>
      <c r="L768">
        <v>16</v>
      </c>
      <c r="M768" t="s">
        <v>55</v>
      </c>
      <c r="N768" s="7">
        <v>45591</v>
      </c>
      <c r="O768" t="str" cm="1">
        <f t="array" ref="O768">_xlfn.IFS(tbl_loans_clean[[#This Row],[Credit_Score]]&lt;650,"580-649",tbl_loans_clean[[#This Row],[Credit_Score]]&lt;700,"650-699",tbl_loans_clean[[#This Row],[Credit_Score]]&lt;750,"700-749",TRUE,"750+")</f>
        <v>580-649</v>
      </c>
    </row>
    <row r="769" spans="1:15" x14ac:dyDescent="0.35">
      <c r="A769" t="s">
        <v>520</v>
      </c>
      <c r="B769" t="s">
        <v>21</v>
      </c>
      <c r="C769" t="s">
        <v>22</v>
      </c>
      <c r="D769" t="s">
        <v>52</v>
      </c>
      <c r="E769">
        <v>341851</v>
      </c>
      <c r="F769">
        <v>14.29</v>
      </c>
      <c r="G769">
        <v>120</v>
      </c>
      <c r="H769">
        <v>57320</v>
      </c>
      <c r="I769">
        <v>748</v>
      </c>
      <c r="J769" t="s">
        <v>18</v>
      </c>
      <c r="K769">
        <v>11.5</v>
      </c>
      <c r="L769">
        <v>11.4</v>
      </c>
      <c r="M769" t="s">
        <v>19</v>
      </c>
      <c r="N769" s="7">
        <v>45593</v>
      </c>
      <c r="O769" t="str" cm="1">
        <f t="array" ref="O769">_xlfn.IFS(tbl_loans_clean[[#This Row],[Credit_Score]]&lt;650,"580-649",tbl_loans_clean[[#This Row],[Credit_Score]]&lt;700,"650-699",tbl_loans_clean[[#This Row],[Credit_Score]]&lt;750,"700-749",TRUE,"750+")</f>
        <v>700-749</v>
      </c>
    </row>
    <row r="770" spans="1:15" x14ac:dyDescent="0.35">
      <c r="A770" t="s">
        <v>645</v>
      </c>
      <c r="B770" t="s">
        <v>30</v>
      </c>
      <c r="C770" t="s">
        <v>16</v>
      </c>
      <c r="D770" t="s">
        <v>17</v>
      </c>
      <c r="E770">
        <v>73323</v>
      </c>
      <c r="F770">
        <v>12.94</v>
      </c>
      <c r="G770">
        <v>24</v>
      </c>
      <c r="H770">
        <v>172870</v>
      </c>
      <c r="I770">
        <v>744</v>
      </c>
      <c r="J770" t="s">
        <v>18</v>
      </c>
      <c r="K770">
        <v>8.1999999999999993</v>
      </c>
      <c r="L770">
        <v>38.1</v>
      </c>
      <c r="M770" t="s">
        <v>23</v>
      </c>
      <c r="N770" s="7">
        <v>45597</v>
      </c>
      <c r="O770" t="str" cm="1">
        <f t="array" ref="O770">_xlfn.IFS(tbl_loans_clean[[#This Row],[Credit_Score]]&lt;650,"580-649",tbl_loans_clean[[#This Row],[Credit_Score]]&lt;700,"650-699",tbl_loans_clean[[#This Row],[Credit_Score]]&lt;750,"700-749",TRUE,"750+")</f>
        <v>700-749</v>
      </c>
    </row>
    <row r="771" spans="1:15" x14ac:dyDescent="0.35">
      <c r="A771" t="s">
        <v>817</v>
      </c>
      <c r="B771" t="s">
        <v>30</v>
      </c>
      <c r="C771" t="s">
        <v>22</v>
      </c>
      <c r="D771" t="s">
        <v>17</v>
      </c>
      <c r="E771">
        <v>493535</v>
      </c>
      <c r="F771">
        <v>12.44</v>
      </c>
      <c r="G771">
        <v>48</v>
      </c>
      <c r="H771">
        <v>142010</v>
      </c>
      <c r="I771">
        <v>831</v>
      </c>
      <c r="J771" t="s">
        <v>35</v>
      </c>
      <c r="K771">
        <v>24.6</v>
      </c>
      <c r="L771">
        <v>21.4</v>
      </c>
      <c r="M771" t="s">
        <v>55</v>
      </c>
      <c r="N771" s="7">
        <v>45597</v>
      </c>
      <c r="O771" t="str" cm="1">
        <f t="array" ref="O771">_xlfn.IFS(tbl_loans_clean[[#This Row],[Credit_Score]]&lt;650,"580-649",tbl_loans_clean[[#This Row],[Credit_Score]]&lt;700,"650-699",tbl_loans_clean[[#This Row],[Credit_Score]]&lt;750,"700-749",TRUE,"750+")</f>
        <v>750+</v>
      </c>
    </row>
    <row r="772" spans="1:15" x14ac:dyDescent="0.35">
      <c r="A772" t="s">
        <v>486</v>
      </c>
      <c r="B772" t="s">
        <v>25</v>
      </c>
      <c r="C772" t="s">
        <v>16</v>
      </c>
      <c r="D772" t="s">
        <v>43</v>
      </c>
      <c r="E772">
        <v>598849</v>
      </c>
      <c r="F772">
        <v>7.85</v>
      </c>
      <c r="G772">
        <v>60</v>
      </c>
      <c r="H772">
        <v>130484</v>
      </c>
      <c r="I772">
        <v>621</v>
      </c>
      <c r="J772" t="s">
        <v>39</v>
      </c>
      <c r="K772">
        <v>16.5</v>
      </c>
      <c r="L772">
        <v>10.9</v>
      </c>
      <c r="M772" t="s">
        <v>19</v>
      </c>
      <c r="N772" s="7">
        <v>45599</v>
      </c>
      <c r="O772" t="str" cm="1">
        <f t="array" ref="O772">_xlfn.IFS(tbl_loans_clean[[#This Row],[Credit_Score]]&lt;650,"580-649",tbl_loans_clean[[#This Row],[Credit_Score]]&lt;700,"650-699",tbl_loans_clean[[#This Row],[Credit_Score]]&lt;750,"700-749",TRUE,"750+")</f>
        <v>580-649</v>
      </c>
    </row>
    <row r="773" spans="1:15" x14ac:dyDescent="0.35">
      <c r="A773" t="s">
        <v>353</v>
      </c>
      <c r="B773" t="s">
        <v>30</v>
      </c>
      <c r="C773" t="s">
        <v>22</v>
      </c>
      <c r="D773" t="s">
        <v>43</v>
      </c>
      <c r="E773">
        <v>141643</v>
      </c>
      <c r="F773">
        <v>8.68</v>
      </c>
      <c r="G773">
        <v>120</v>
      </c>
      <c r="H773">
        <v>71129</v>
      </c>
      <c r="I773">
        <v>702</v>
      </c>
      <c r="J773" t="s">
        <v>18</v>
      </c>
      <c r="K773">
        <v>14.4</v>
      </c>
      <c r="L773">
        <v>42</v>
      </c>
      <c r="M773" t="s">
        <v>23</v>
      </c>
      <c r="N773" s="7">
        <v>45601</v>
      </c>
      <c r="O773" t="str" cm="1">
        <f t="array" ref="O773">_xlfn.IFS(tbl_loans_clean[[#This Row],[Credit_Score]]&lt;650,"580-649",tbl_loans_clean[[#This Row],[Credit_Score]]&lt;700,"650-699",tbl_loans_clean[[#This Row],[Credit_Score]]&lt;750,"700-749",TRUE,"750+")</f>
        <v>700-749</v>
      </c>
    </row>
    <row r="774" spans="1:15" x14ac:dyDescent="0.35">
      <c r="A774" t="s">
        <v>835</v>
      </c>
      <c r="B774" t="s">
        <v>28</v>
      </c>
      <c r="C774" t="s">
        <v>22</v>
      </c>
      <c r="D774" t="s">
        <v>17</v>
      </c>
      <c r="E774">
        <v>67021</v>
      </c>
      <c r="F774">
        <v>12.59</v>
      </c>
      <c r="G774">
        <v>240</v>
      </c>
      <c r="H774">
        <v>168202</v>
      </c>
      <c r="I774">
        <v>848</v>
      </c>
      <c r="J774" t="s">
        <v>18</v>
      </c>
      <c r="K774">
        <v>9.6</v>
      </c>
      <c r="L774">
        <v>32.6</v>
      </c>
      <c r="M774" t="s">
        <v>23</v>
      </c>
      <c r="N774" s="7">
        <v>45602</v>
      </c>
      <c r="O774" t="str" cm="1">
        <f t="array" ref="O774">_xlfn.IFS(tbl_loans_clean[[#This Row],[Credit_Score]]&lt;650,"580-649",tbl_loans_clean[[#This Row],[Credit_Score]]&lt;700,"650-699",tbl_loans_clean[[#This Row],[Credit_Score]]&lt;750,"700-749",TRUE,"750+")</f>
        <v>750+</v>
      </c>
    </row>
    <row r="775" spans="1:15" x14ac:dyDescent="0.35">
      <c r="A775" t="s">
        <v>310</v>
      </c>
      <c r="B775" t="s">
        <v>30</v>
      </c>
      <c r="C775" t="s">
        <v>22</v>
      </c>
      <c r="D775" t="s">
        <v>17</v>
      </c>
      <c r="E775">
        <v>167993</v>
      </c>
      <c r="F775">
        <v>7.62</v>
      </c>
      <c r="G775">
        <v>120</v>
      </c>
      <c r="H775">
        <v>203188</v>
      </c>
      <c r="I775">
        <v>669</v>
      </c>
      <c r="J775" t="s">
        <v>18</v>
      </c>
      <c r="K775">
        <v>5.6</v>
      </c>
      <c r="L775">
        <v>17.8</v>
      </c>
      <c r="M775" t="s">
        <v>23</v>
      </c>
      <c r="N775" s="7">
        <v>45603</v>
      </c>
      <c r="O775" t="str" cm="1">
        <f t="array" ref="O775">_xlfn.IFS(tbl_loans_clean[[#This Row],[Credit_Score]]&lt;650,"580-649",tbl_loans_clean[[#This Row],[Credit_Score]]&lt;700,"650-699",tbl_loans_clean[[#This Row],[Credit_Score]]&lt;750,"700-749",TRUE,"750+")</f>
        <v>650-699</v>
      </c>
    </row>
    <row r="776" spans="1:15" x14ac:dyDescent="0.35">
      <c r="A776" t="s">
        <v>552</v>
      </c>
      <c r="B776" t="s">
        <v>28</v>
      </c>
      <c r="C776" t="s">
        <v>22</v>
      </c>
      <c r="D776" t="s">
        <v>17</v>
      </c>
      <c r="E776">
        <v>671393</v>
      </c>
      <c r="F776">
        <v>14.06</v>
      </c>
      <c r="G776">
        <v>120</v>
      </c>
      <c r="H776">
        <v>78210</v>
      </c>
      <c r="I776">
        <v>799</v>
      </c>
      <c r="J776" t="s">
        <v>18</v>
      </c>
      <c r="K776">
        <v>4.0999999999999996</v>
      </c>
      <c r="L776">
        <v>12.5</v>
      </c>
      <c r="M776" t="s">
        <v>23</v>
      </c>
      <c r="N776" s="7">
        <v>45605</v>
      </c>
      <c r="O776" t="str" cm="1">
        <f t="array" ref="O776">_xlfn.IFS(tbl_loans_clean[[#This Row],[Credit_Score]]&lt;650,"580-649",tbl_loans_clean[[#This Row],[Credit_Score]]&lt;700,"650-699",tbl_loans_clean[[#This Row],[Credit_Score]]&lt;750,"700-749",TRUE,"750+")</f>
        <v>750+</v>
      </c>
    </row>
    <row r="777" spans="1:15" x14ac:dyDescent="0.35">
      <c r="A777" t="s">
        <v>360</v>
      </c>
      <c r="B777" t="s">
        <v>30</v>
      </c>
      <c r="C777" t="s">
        <v>22</v>
      </c>
      <c r="D777" t="s">
        <v>32</v>
      </c>
      <c r="E777">
        <v>523767</v>
      </c>
      <c r="F777">
        <v>8.4700000000000006</v>
      </c>
      <c r="G777">
        <v>36</v>
      </c>
      <c r="H777">
        <v>85174</v>
      </c>
      <c r="I777">
        <v>841</v>
      </c>
      <c r="J777" t="s">
        <v>26</v>
      </c>
      <c r="K777">
        <v>14.1</v>
      </c>
      <c r="L777">
        <v>35</v>
      </c>
      <c r="M777" t="s">
        <v>55</v>
      </c>
      <c r="N777" s="7">
        <v>45609</v>
      </c>
      <c r="O777" t="str" cm="1">
        <f t="array" ref="O777">_xlfn.IFS(tbl_loans_clean[[#This Row],[Credit_Score]]&lt;650,"580-649",tbl_loans_clean[[#This Row],[Credit_Score]]&lt;700,"650-699",tbl_loans_clean[[#This Row],[Credit_Score]]&lt;750,"700-749",TRUE,"750+")</f>
        <v>750+</v>
      </c>
    </row>
    <row r="778" spans="1:15" x14ac:dyDescent="0.35">
      <c r="A778" t="s">
        <v>655</v>
      </c>
      <c r="B778" t="s">
        <v>30</v>
      </c>
      <c r="C778" t="s">
        <v>22</v>
      </c>
      <c r="D778" t="s">
        <v>52</v>
      </c>
      <c r="E778">
        <v>451790</v>
      </c>
      <c r="F778">
        <v>8.77</v>
      </c>
      <c r="G778">
        <v>120</v>
      </c>
      <c r="H778">
        <v>30795</v>
      </c>
      <c r="I778">
        <v>647</v>
      </c>
      <c r="J778" t="s">
        <v>26</v>
      </c>
      <c r="K778">
        <v>7.6</v>
      </c>
      <c r="L778">
        <v>19.100000000000001</v>
      </c>
      <c r="M778" t="s">
        <v>23</v>
      </c>
      <c r="N778" s="7">
        <v>45609</v>
      </c>
      <c r="O778" t="str" cm="1">
        <f t="array" ref="O778">_xlfn.IFS(tbl_loans_clean[[#This Row],[Credit_Score]]&lt;650,"580-649",tbl_loans_clean[[#This Row],[Credit_Score]]&lt;700,"650-699",tbl_loans_clean[[#This Row],[Credit_Score]]&lt;750,"700-749",TRUE,"750+")</f>
        <v>580-649</v>
      </c>
    </row>
    <row r="779" spans="1:15" x14ac:dyDescent="0.35">
      <c r="A779" t="s">
        <v>236</v>
      </c>
      <c r="B779" t="s">
        <v>30</v>
      </c>
      <c r="C779" t="s">
        <v>22</v>
      </c>
      <c r="D779" t="s">
        <v>17</v>
      </c>
      <c r="E779">
        <v>345615</v>
      </c>
      <c r="F779">
        <v>3.45</v>
      </c>
      <c r="G779">
        <v>24</v>
      </c>
      <c r="H779">
        <v>56633</v>
      </c>
      <c r="I779">
        <v>680</v>
      </c>
      <c r="J779" t="s">
        <v>26</v>
      </c>
      <c r="K779">
        <v>12.1</v>
      </c>
      <c r="L779">
        <v>42.5</v>
      </c>
      <c r="M779" t="s">
        <v>23</v>
      </c>
      <c r="N779" s="7">
        <v>45612</v>
      </c>
      <c r="O779" t="str" cm="1">
        <f t="array" ref="O779">_xlfn.IFS(tbl_loans_clean[[#This Row],[Credit_Score]]&lt;650,"580-649",tbl_loans_clean[[#This Row],[Credit_Score]]&lt;700,"650-699",tbl_loans_clean[[#This Row],[Credit_Score]]&lt;750,"700-749",TRUE,"750+")</f>
        <v>650-699</v>
      </c>
    </row>
    <row r="780" spans="1:15" x14ac:dyDescent="0.35">
      <c r="A780" t="s">
        <v>337</v>
      </c>
      <c r="B780" t="s">
        <v>15</v>
      </c>
      <c r="C780" t="s">
        <v>22</v>
      </c>
      <c r="D780" t="s">
        <v>38</v>
      </c>
      <c r="E780">
        <v>252644</v>
      </c>
      <c r="F780">
        <v>8.94</v>
      </c>
      <c r="G780">
        <v>300</v>
      </c>
      <c r="H780">
        <v>28924</v>
      </c>
      <c r="I780">
        <v>709</v>
      </c>
      <c r="J780" t="s">
        <v>35</v>
      </c>
      <c r="K780">
        <v>12.6</v>
      </c>
      <c r="L780">
        <v>26.8</v>
      </c>
      <c r="M780" t="s">
        <v>48</v>
      </c>
      <c r="N780" s="7">
        <v>45612</v>
      </c>
      <c r="O780" t="str" cm="1">
        <f t="array" ref="O780">_xlfn.IFS(tbl_loans_clean[[#This Row],[Credit_Score]]&lt;650,"580-649",tbl_loans_clean[[#This Row],[Credit_Score]]&lt;700,"650-699",tbl_loans_clean[[#This Row],[Credit_Score]]&lt;750,"700-749",TRUE,"750+")</f>
        <v>700-749</v>
      </c>
    </row>
    <row r="781" spans="1:15" x14ac:dyDescent="0.35">
      <c r="A781" t="s">
        <v>508</v>
      </c>
      <c r="B781" t="s">
        <v>30</v>
      </c>
      <c r="C781" t="s">
        <v>22</v>
      </c>
      <c r="D781" t="s">
        <v>17</v>
      </c>
      <c r="E781">
        <v>531492</v>
      </c>
      <c r="F781">
        <v>11.75</v>
      </c>
      <c r="G781">
        <v>36</v>
      </c>
      <c r="H781">
        <v>124870</v>
      </c>
      <c r="I781">
        <v>661</v>
      </c>
      <c r="J781" t="s">
        <v>18</v>
      </c>
      <c r="K781">
        <v>5.8</v>
      </c>
      <c r="L781">
        <v>39.5</v>
      </c>
      <c r="M781" t="s">
        <v>55</v>
      </c>
      <c r="N781" s="7">
        <v>45612</v>
      </c>
      <c r="O781" t="str" cm="1">
        <f t="array" ref="O781">_xlfn.IFS(tbl_loans_clean[[#This Row],[Credit_Score]]&lt;650,"580-649",tbl_loans_clean[[#This Row],[Credit_Score]]&lt;700,"650-699",tbl_loans_clean[[#This Row],[Credit_Score]]&lt;750,"700-749",TRUE,"750+")</f>
        <v>650-699</v>
      </c>
    </row>
    <row r="782" spans="1:15" x14ac:dyDescent="0.35">
      <c r="A782" t="s">
        <v>668</v>
      </c>
      <c r="B782" t="s">
        <v>15</v>
      </c>
      <c r="C782" t="s">
        <v>22</v>
      </c>
      <c r="D782" t="s">
        <v>17</v>
      </c>
      <c r="E782">
        <v>473947</v>
      </c>
      <c r="F782">
        <v>9.6199999999999992</v>
      </c>
      <c r="G782">
        <v>60</v>
      </c>
      <c r="H782">
        <v>188337</v>
      </c>
      <c r="I782">
        <v>657</v>
      </c>
      <c r="J782" t="s">
        <v>18</v>
      </c>
      <c r="K782">
        <v>19.2</v>
      </c>
      <c r="L782">
        <v>10.9</v>
      </c>
      <c r="M782" t="s">
        <v>19</v>
      </c>
      <c r="N782" s="7">
        <v>45614</v>
      </c>
      <c r="O782" t="str" cm="1">
        <f t="array" ref="O782">_xlfn.IFS(tbl_loans_clean[[#This Row],[Credit_Score]]&lt;650,"580-649",tbl_loans_clean[[#This Row],[Credit_Score]]&lt;700,"650-699",tbl_loans_clean[[#This Row],[Credit_Score]]&lt;750,"700-749",TRUE,"750+")</f>
        <v>650-699</v>
      </c>
    </row>
    <row r="783" spans="1:15" x14ac:dyDescent="0.35">
      <c r="A783" t="s">
        <v>829</v>
      </c>
      <c r="B783" t="s">
        <v>15</v>
      </c>
      <c r="C783" t="s">
        <v>22</v>
      </c>
      <c r="D783" t="s">
        <v>45</v>
      </c>
      <c r="E783">
        <v>631256</v>
      </c>
      <c r="F783">
        <v>11.01</v>
      </c>
      <c r="G783">
        <v>60</v>
      </c>
      <c r="H783">
        <v>187204</v>
      </c>
      <c r="I783">
        <v>630</v>
      </c>
      <c r="J783" t="s">
        <v>39</v>
      </c>
      <c r="K783">
        <v>16.600000000000001</v>
      </c>
      <c r="L783">
        <v>42.8</v>
      </c>
      <c r="M783" t="s">
        <v>19</v>
      </c>
      <c r="N783" s="7">
        <v>45618</v>
      </c>
      <c r="O783" t="str" cm="1">
        <f t="array" ref="O783">_xlfn.IFS(tbl_loans_clean[[#This Row],[Credit_Score]]&lt;650,"580-649",tbl_loans_clean[[#This Row],[Credit_Score]]&lt;700,"650-699",tbl_loans_clean[[#This Row],[Credit_Score]]&lt;750,"700-749",TRUE,"750+")</f>
        <v>580-649</v>
      </c>
    </row>
    <row r="784" spans="1:15" x14ac:dyDescent="0.35">
      <c r="A784" t="s">
        <v>382</v>
      </c>
      <c r="B784" t="s">
        <v>15</v>
      </c>
      <c r="C784" t="s">
        <v>34</v>
      </c>
      <c r="D784" t="s">
        <v>17</v>
      </c>
      <c r="E784">
        <v>283355</v>
      </c>
      <c r="F784">
        <v>7.41</v>
      </c>
      <c r="G784">
        <v>120</v>
      </c>
      <c r="H784">
        <v>140651</v>
      </c>
      <c r="I784">
        <v>593</v>
      </c>
      <c r="J784" t="s">
        <v>35</v>
      </c>
      <c r="K784">
        <v>9.6</v>
      </c>
      <c r="L784">
        <v>40.4</v>
      </c>
      <c r="M784" t="s">
        <v>23</v>
      </c>
      <c r="N784" s="7">
        <v>45619</v>
      </c>
      <c r="O784" t="str" cm="1">
        <f t="array" ref="O784">_xlfn.IFS(tbl_loans_clean[[#This Row],[Credit_Score]]&lt;650,"580-649",tbl_loans_clean[[#This Row],[Credit_Score]]&lt;700,"650-699",tbl_loans_clean[[#This Row],[Credit_Score]]&lt;750,"700-749",TRUE,"750+")</f>
        <v>580-649</v>
      </c>
    </row>
    <row r="785" spans="1:15" x14ac:dyDescent="0.35">
      <c r="A785" t="s">
        <v>323</v>
      </c>
      <c r="B785" t="s">
        <v>30</v>
      </c>
      <c r="C785" t="s">
        <v>22</v>
      </c>
      <c r="D785" t="s">
        <v>43</v>
      </c>
      <c r="E785">
        <v>492030</v>
      </c>
      <c r="F785">
        <v>7.86</v>
      </c>
      <c r="G785">
        <v>12</v>
      </c>
      <c r="H785">
        <v>154613</v>
      </c>
      <c r="I785">
        <v>797</v>
      </c>
      <c r="J785" t="s">
        <v>18</v>
      </c>
      <c r="K785">
        <v>0.2</v>
      </c>
      <c r="L785">
        <v>28.7</v>
      </c>
      <c r="M785" t="s">
        <v>23</v>
      </c>
      <c r="N785" s="7">
        <v>45622</v>
      </c>
      <c r="O785" t="str" cm="1">
        <f t="array" ref="O785">_xlfn.IFS(tbl_loans_clean[[#This Row],[Credit_Score]]&lt;650,"580-649",tbl_loans_clean[[#This Row],[Credit_Score]]&lt;700,"650-699",tbl_loans_clean[[#This Row],[Credit_Score]]&lt;750,"700-749",TRUE,"750+")</f>
        <v>750+</v>
      </c>
    </row>
    <row r="786" spans="1:15" x14ac:dyDescent="0.35">
      <c r="A786" t="s">
        <v>734</v>
      </c>
      <c r="B786" t="s">
        <v>15</v>
      </c>
      <c r="C786" t="s">
        <v>22</v>
      </c>
      <c r="D786" t="s">
        <v>17</v>
      </c>
      <c r="E786">
        <v>376994</v>
      </c>
      <c r="F786">
        <v>10.15</v>
      </c>
      <c r="G786">
        <v>24</v>
      </c>
      <c r="H786">
        <v>70771</v>
      </c>
      <c r="I786">
        <v>598</v>
      </c>
      <c r="J786" t="s">
        <v>26</v>
      </c>
      <c r="K786">
        <v>14.2</v>
      </c>
      <c r="L786">
        <v>26.5</v>
      </c>
      <c r="M786" t="s">
        <v>23</v>
      </c>
      <c r="N786" s="7">
        <v>45622</v>
      </c>
      <c r="O786" t="str" cm="1">
        <f t="array" ref="O786">_xlfn.IFS(tbl_loans_clean[[#This Row],[Credit_Score]]&lt;650,"580-649",tbl_loans_clean[[#This Row],[Credit_Score]]&lt;700,"650-699",tbl_loans_clean[[#This Row],[Credit_Score]]&lt;750,"700-749",TRUE,"750+")</f>
        <v>580-649</v>
      </c>
    </row>
    <row r="787" spans="1:15" x14ac:dyDescent="0.35">
      <c r="A787" t="s">
        <v>561</v>
      </c>
      <c r="B787" t="s">
        <v>30</v>
      </c>
      <c r="C787" t="s">
        <v>22</v>
      </c>
      <c r="D787" t="s">
        <v>43</v>
      </c>
      <c r="E787">
        <v>687405</v>
      </c>
      <c r="F787">
        <v>9.9</v>
      </c>
      <c r="G787">
        <v>24</v>
      </c>
      <c r="H787">
        <v>171704</v>
      </c>
      <c r="I787">
        <v>685</v>
      </c>
      <c r="J787" t="s">
        <v>18</v>
      </c>
      <c r="K787">
        <v>21.8</v>
      </c>
      <c r="L787">
        <v>29.7</v>
      </c>
      <c r="M787" t="s">
        <v>23</v>
      </c>
      <c r="N787" s="7">
        <v>45623</v>
      </c>
      <c r="O787" t="str" cm="1">
        <f t="array" ref="O787">_xlfn.IFS(tbl_loans_clean[[#This Row],[Credit_Score]]&lt;650,"580-649",tbl_loans_clean[[#This Row],[Credit_Score]]&lt;700,"650-699",tbl_loans_clean[[#This Row],[Credit_Score]]&lt;750,"700-749",TRUE,"750+")</f>
        <v>650-699</v>
      </c>
    </row>
    <row r="788" spans="1:15" x14ac:dyDescent="0.35">
      <c r="A788" t="s">
        <v>614</v>
      </c>
      <c r="B788" t="s">
        <v>15</v>
      </c>
      <c r="C788" t="s">
        <v>34</v>
      </c>
      <c r="D788" t="s">
        <v>17</v>
      </c>
      <c r="E788">
        <v>116086</v>
      </c>
      <c r="F788">
        <v>10.82</v>
      </c>
      <c r="G788">
        <v>12</v>
      </c>
      <c r="H788">
        <v>37873</v>
      </c>
      <c r="I788">
        <v>638</v>
      </c>
      <c r="J788" t="s">
        <v>18</v>
      </c>
      <c r="K788">
        <v>5.4</v>
      </c>
      <c r="L788">
        <v>28.5</v>
      </c>
      <c r="M788" t="s">
        <v>23</v>
      </c>
      <c r="N788" s="7">
        <v>45627</v>
      </c>
      <c r="O788" t="str" cm="1">
        <f t="array" ref="O788">_xlfn.IFS(tbl_loans_clean[[#This Row],[Credit_Score]]&lt;650,"580-649",tbl_loans_clean[[#This Row],[Credit_Score]]&lt;700,"650-699",tbl_loans_clean[[#This Row],[Credit_Score]]&lt;750,"700-749",TRUE,"750+")</f>
        <v>580-649</v>
      </c>
    </row>
    <row r="789" spans="1:15" x14ac:dyDescent="0.35">
      <c r="A789" t="s">
        <v>489</v>
      </c>
      <c r="B789" t="s">
        <v>25</v>
      </c>
      <c r="C789" t="s">
        <v>22</v>
      </c>
      <c r="D789" t="s">
        <v>38</v>
      </c>
      <c r="E789">
        <v>680453</v>
      </c>
      <c r="F789">
        <v>7.27</v>
      </c>
      <c r="G789">
        <v>60</v>
      </c>
      <c r="H789">
        <v>99576</v>
      </c>
      <c r="I789">
        <v>830</v>
      </c>
      <c r="J789" t="s">
        <v>18</v>
      </c>
      <c r="K789">
        <v>7.4</v>
      </c>
      <c r="L789">
        <v>34.799999999999997</v>
      </c>
      <c r="M789" t="s">
        <v>55</v>
      </c>
      <c r="N789" s="7">
        <v>45629</v>
      </c>
      <c r="O789" t="str" cm="1">
        <f t="array" ref="O789">_xlfn.IFS(tbl_loans_clean[[#This Row],[Credit_Score]]&lt;650,"580-649",tbl_loans_clean[[#This Row],[Credit_Score]]&lt;700,"650-699",tbl_loans_clean[[#This Row],[Credit_Score]]&lt;750,"700-749",TRUE,"750+")</f>
        <v>750+</v>
      </c>
    </row>
    <row r="790" spans="1:15" x14ac:dyDescent="0.35">
      <c r="A790" t="s">
        <v>509</v>
      </c>
      <c r="B790" t="s">
        <v>37</v>
      </c>
      <c r="C790" t="s">
        <v>22</v>
      </c>
      <c r="D790" t="s">
        <v>17</v>
      </c>
      <c r="E790">
        <v>97769</v>
      </c>
      <c r="F790">
        <v>8.1999999999999993</v>
      </c>
      <c r="G790">
        <v>60</v>
      </c>
      <c r="H790">
        <v>49398</v>
      </c>
      <c r="I790">
        <v>656</v>
      </c>
      <c r="J790" t="s">
        <v>18</v>
      </c>
      <c r="K790">
        <v>7.3</v>
      </c>
      <c r="L790">
        <v>10.3</v>
      </c>
      <c r="M790" t="s">
        <v>23</v>
      </c>
      <c r="N790" s="7">
        <v>45632</v>
      </c>
      <c r="O790" t="str" cm="1">
        <f t="array" ref="O790">_xlfn.IFS(tbl_loans_clean[[#This Row],[Credit_Score]]&lt;650,"580-649",tbl_loans_clean[[#This Row],[Credit_Score]]&lt;700,"650-699",tbl_loans_clean[[#This Row],[Credit_Score]]&lt;750,"700-749",TRUE,"750+")</f>
        <v>650-699</v>
      </c>
    </row>
    <row r="791" spans="1:15" x14ac:dyDescent="0.35">
      <c r="A791" t="s">
        <v>797</v>
      </c>
      <c r="B791" t="s">
        <v>25</v>
      </c>
      <c r="C791" t="s">
        <v>22</v>
      </c>
      <c r="D791" t="s">
        <v>17</v>
      </c>
      <c r="E791">
        <v>401489</v>
      </c>
      <c r="F791">
        <v>12.63</v>
      </c>
      <c r="G791">
        <v>120</v>
      </c>
      <c r="H791">
        <v>116844</v>
      </c>
      <c r="I791">
        <v>729</v>
      </c>
      <c r="J791" t="s">
        <v>18</v>
      </c>
      <c r="K791">
        <v>0</v>
      </c>
      <c r="L791">
        <v>42.2</v>
      </c>
      <c r="M791" t="s">
        <v>23</v>
      </c>
      <c r="N791" s="7">
        <v>45635</v>
      </c>
      <c r="O791" t="str" cm="1">
        <f t="array" ref="O791">_xlfn.IFS(tbl_loans_clean[[#This Row],[Credit_Score]]&lt;650,"580-649",tbl_loans_clean[[#This Row],[Credit_Score]]&lt;700,"650-699",tbl_loans_clean[[#This Row],[Credit_Score]]&lt;750,"700-749",TRUE,"750+")</f>
        <v>700-749</v>
      </c>
    </row>
    <row r="792" spans="1:15" x14ac:dyDescent="0.35">
      <c r="A792" t="s">
        <v>317</v>
      </c>
      <c r="B792" t="s">
        <v>15</v>
      </c>
      <c r="C792" t="s">
        <v>22</v>
      </c>
      <c r="D792" t="s">
        <v>32</v>
      </c>
      <c r="E792">
        <v>650822</v>
      </c>
      <c r="F792">
        <v>8.0500000000000007</v>
      </c>
      <c r="G792">
        <v>24</v>
      </c>
      <c r="H792">
        <v>151099</v>
      </c>
      <c r="I792">
        <v>647</v>
      </c>
      <c r="J792" t="s">
        <v>18</v>
      </c>
      <c r="K792">
        <v>20.9</v>
      </c>
      <c r="L792">
        <v>37.5</v>
      </c>
      <c r="M792" t="s">
        <v>48</v>
      </c>
      <c r="N792" s="7">
        <v>45638</v>
      </c>
      <c r="O792" t="str" cm="1">
        <f t="array" ref="O792">_xlfn.IFS(tbl_loans_clean[[#This Row],[Credit_Score]]&lt;650,"580-649",tbl_loans_clean[[#This Row],[Credit_Score]]&lt;700,"650-699",tbl_loans_clean[[#This Row],[Credit_Score]]&lt;750,"700-749",TRUE,"750+")</f>
        <v>580-649</v>
      </c>
    </row>
    <row r="793" spans="1:15" x14ac:dyDescent="0.35">
      <c r="A793" t="s">
        <v>189</v>
      </c>
      <c r="B793" t="s">
        <v>30</v>
      </c>
      <c r="C793" t="s">
        <v>34</v>
      </c>
      <c r="D793" t="s">
        <v>38</v>
      </c>
      <c r="E793">
        <v>130438</v>
      </c>
      <c r="F793">
        <v>5.45</v>
      </c>
      <c r="G793">
        <v>12</v>
      </c>
      <c r="H793">
        <v>84809</v>
      </c>
      <c r="I793">
        <v>730</v>
      </c>
      <c r="J793" t="s">
        <v>18</v>
      </c>
      <c r="K793">
        <v>17.100000000000001</v>
      </c>
      <c r="L793">
        <v>22.8</v>
      </c>
      <c r="M793" t="s">
        <v>19</v>
      </c>
      <c r="N793" s="7">
        <v>45640</v>
      </c>
      <c r="O793" t="str" cm="1">
        <f t="array" ref="O793">_xlfn.IFS(tbl_loans_clean[[#This Row],[Credit_Score]]&lt;650,"580-649",tbl_loans_clean[[#This Row],[Credit_Score]]&lt;700,"650-699",tbl_loans_clean[[#This Row],[Credit_Score]]&lt;750,"700-749",TRUE,"750+")</f>
        <v>700-749</v>
      </c>
    </row>
    <row r="794" spans="1:15" x14ac:dyDescent="0.35">
      <c r="A794" t="s">
        <v>281</v>
      </c>
      <c r="B794" t="s">
        <v>71</v>
      </c>
      <c r="C794" t="s">
        <v>16</v>
      </c>
      <c r="D794" t="s">
        <v>17</v>
      </c>
      <c r="E794">
        <v>153694</v>
      </c>
      <c r="F794">
        <v>12.9</v>
      </c>
      <c r="G794">
        <v>36</v>
      </c>
      <c r="H794">
        <v>29184</v>
      </c>
      <c r="I794">
        <v>671</v>
      </c>
      <c r="J794" t="s">
        <v>26</v>
      </c>
      <c r="K794">
        <v>10.3</v>
      </c>
      <c r="L794">
        <v>12.2</v>
      </c>
      <c r="M794" t="s">
        <v>19</v>
      </c>
      <c r="N794" s="7">
        <v>45640</v>
      </c>
      <c r="O794" t="str" cm="1">
        <f t="array" ref="O794">_xlfn.IFS(tbl_loans_clean[[#This Row],[Credit_Score]]&lt;650,"580-649",tbl_loans_clean[[#This Row],[Credit_Score]]&lt;700,"650-699",tbl_loans_clean[[#This Row],[Credit_Score]]&lt;750,"700-749",TRUE,"750+")</f>
        <v>650-699</v>
      </c>
    </row>
    <row r="795" spans="1:15" x14ac:dyDescent="0.35">
      <c r="A795" t="s">
        <v>790</v>
      </c>
      <c r="B795" t="s">
        <v>83</v>
      </c>
      <c r="C795" t="s">
        <v>22</v>
      </c>
      <c r="D795" t="s">
        <v>45</v>
      </c>
      <c r="E795">
        <v>269852</v>
      </c>
      <c r="F795">
        <v>14.39</v>
      </c>
      <c r="G795">
        <v>240</v>
      </c>
      <c r="H795">
        <v>206734</v>
      </c>
      <c r="I795">
        <v>737</v>
      </c>
      <c r="J795" t="s">
        <v>26</v>
      </c>
      <c r="K795">
        <v>1</v>
      </c>
      <c r="L795">
        <v>9.5</v>
      </c>
      <c r="M795" t="s">
        <v>23</v>
      </c>
      <c r="N795" s="7">
        <v>45641</v>
      </c>
      <c r="O795" t="str" cm="1">
        <f t="array" ref="O795">_xlfn.IFS(tbl_loans_clean[[#This Row],[Credit_Score]]&lt;650,"580-649",tbl_loans_clean[[#This Row],[Credit_Score]]&lt;700,"650-699",tbl_loans_clean[[#This Row],[Credit_Score]]&lt;750,"700-749",TRUE,"750+")</f>
        <v>700-749</v>
      </c>
    </row>
    <row r="796" spans="1:15" x14ac:dyDescent="0.35">
      <c r="A796" t="s">
        <v>285</v>
      </c>
      <c r="B796" t="s">
        <v>30</v>
      </c>
      <c r="C796" t="s">
        <v>34</v>
      </c>
      <c r="D796" t="s">
        <v>73</v>
      </c>
      <c r="E796">
        <v>456610</v>
      </c>
      <c r="F796">
        <v>5.01</v>
      </c>
      <c r="G796">
        <v>12</v>
      </c>
      <c r="H796">
        <v>139361</v>
      </c>
      <c r="I796">
        <v>756</v>
      </c>
      <c r="J796" t="s">
        <v>18</v>
      </c>
      <c r="K796">
        <v>9.3000000000000007</v>
      </c>
      <c r="L796">
        <v>14.3</v>
      </c>
      <c r="M796" t="s">
        <v>23</v>
      </c>
      <c r="N796" s="7">
        <v>45643</v>
      </c>
      <c r="O796" t="str" cm="1">
        <f t="array" ref="O796">_xlfn.IFS(tbl_loans_clean[[#This Row],[Credit_Score]]&lt;650,"580-649",tbl_loans_clean[[#This Row],[Credit_Score]]&lt;700,"650-699",tbl_loans_clean[[#This Row],[Credit_Score]]&lt;750,"700-749",TRUE,"750+")</f>
        <v>750+</v>
      </c>
    </row>
    <row r="797" spans="1:15" x14ac:dyDescent="0.35">
      <c r="A797" t="s">
        <v>122</v>
      </c>
      <c r="B797" t="s">
        <v>28</v>
      </c>
      <c r="C797" t="s">
        <v>16</v>
      </c>
      <c r="D797" t="s">
        <v>52</v>
      </c>
      <c r="E797">
        <v>462569</v>
      </c>
      <c r="F797">
        <v>7.12</v>
      </c>
      <c r="G797">
        <v>300</v>
      </c>
      <c r="H797">
        <v>29466</v>
      </c>
      <c r="I797">
        <v>701</v>
      </c>
      <c r="J797" t="s">
        <v>26</v>
      </c>
      <c r="K797">
        <v>12.7</v>
      </c>
      <c r="L797">
        <v>14.5</v>
      </c>
      <c r="M797" t="s">
        <v>23</v>
      </c>
      <c r="N797" s="7">
        <v>45644</v>
      </c>
      <c r="O797" t="str" cm="1">
        <f t="array" ref="O797">_xlfn.IFS(tbl_loans_clean[[#This Row],[Credit_Score]]&lt;650,"580-649",tbl_loans_clean[[#This Row],[Credit_Score]]&lt;700,"650-699",tbl_loans_clean[[#This Row],[Credit_Score]]&lt;750,"700-749",TRUE,"750+")</f>
        <v>700-749</v>
      </c>
    </row>
    <row r="798" spans="1:15" x14ac:dyDescent="0.35">
      <c r="A798" t="s">
        <v>636</v>
      </c>
      <c r="B798" t="s">
        <v>83</v>
      </c>
      <c r="C798" t="s">
        <v>22</v>
      </c>
      <c r="D798" t="s">
        <v>17</v>
      </c>
      <c r="E798">
        <v>613577</v>
      </c>
      <c r="F798">
        <v>6.66</v>
      </c>
      <c r="G798">
        <v>24</v>
      </c>
      <c r="H798">
        <v>44932</v>
      </c>
      <c r="I798">
        <v>775</v>
      </c>
      <c r="J798" t="s">
        <v>18</v>
      </c>
      <c r="K798">
        <v>10.4</v>
      </c>
      <c r="L798">
        <v>28.6</v>
      </c>
      <c r="M798" t="s">
        <v>19</v>
      </c>
      <c r="N798" s="7">
        <v>45647</v>
      </c>
      <c r="O798" t="str" cm="1">
        <f t="array" ref="O798">_xlfn.IFS(tbl_loans_clean[[#This Row],[Credit_Score]]&lt;650,"580-649",tbl_loans_clean[[#This Row],[Credit_Score]]&lt;700,"650-699",tbl_loans_clean[[#This Row],[Credit_Score]]&lt;750,"700-749",TRUE,"750+")</f>
        <v>750+</v>
      </c>
    </row>
    <row r="799" spans="1:15" x14ac:dyDescent="0.35">
      <c r="A799" t="s">
        <v>640</v>
      </c>
      <c r="B799" t="s">
        <v>30</v>
      </c>
      <c r="C799" t="s">
        <v>16</v>
      </c>
      <c r="D799" t="s">
        <v>32</v>
      </c>
      <c r="E799">
        <v>687773</v>
      </c>
      <c r="F799">
        <v>8.3800000000000008</v>
      </c>
      <c r="G799">
        <v>48</v>
      </c>
      <c r="H799">
        <v>186849</v>
      </c>
      <c r="I799">
        <v>663</v>
      </c>
      <c r="J799" t="s">
        <v>18</v>
      </c>
      <c r="K799">
        <v>5.7</v>
      </c>
      <c r="L799">
        <v>10.9</v>
      </c>
      <c r="M799" t="s">
        <v>19</v>
      </c>
      <c r="N799" s="7">
        <v>45652</v>
      </c>
      <c r="O799" t="str" cm="1">
        <f t="array" ref="O799">_xlfn.IFS(tbl_loans_clean[[#This Row],[Credit_Score]]&lt;650,"580-649",tbl_loans_clean[[#This Row],[Credit_Score]]&lt;700,"650-699",tbl_loans_clean[[#This Row],[Credit_Score]]&lt;750,"700-749",TRUE,"750+")</f>
        <v>650-699</v>
      </c>
    </row>
    <row r="800" spans="1:15" x14ac:dyDescent="0.35">
      <c r="A800" t="s">
        <v>402</v>
      </c>
      <c r="B800" t="s">
        <v>15</v>
      </c>
      <c r="C800" t="s">
        <v>34</v>
      </c>
      <c r="D800" t="s">
        <v>17</v>
      </c>
      <c r="E800">
        <v>7257</v>
      </c>
      <c r="F800">
        <v>12.27</v>
      </c>
      <c r="G800">
        <v>120</v>
      </c>
      <c r="H800">
        <v>131864</v>
      </c>
      <c r="I800">
        <v>776</v>
      </c>
      <c r="J800" t="s">
        <v>26</v>
      </c>
      <c r="K800">
        <v>6.2</v>
      </c>
      <c r="L800">
        <v>18.2</v>
      </c>
      <c r="M800" t="s">
        <v>23</v>
      </c>
      <c r="N800" s="7">
        <v>45654</v>
      </c>
      <c r="O800" t="str" cm="1">
        <f t="array" ref="O800">_xlfn.IFS(tbl_loans_clean[[#This Row],[Credit_Score]]&lt;650,"580-649",tbl_loans_clean[[#This Row],[Credit_Score]]&lt;700,"650-699",tbl_loans_clean[[#This Row],[Credit_Score]]&lt;750,"700-749",TRUE,"750+")</f>
        <v>750+</v>
      </c>
    </row>
    <row r="801" spans="1:15" x14ac:dyDescent="0.35">
      <c r="A801" t="s">
        <v>302</v>
      </c>
      <c r="B801" t="s">
        <v>303</v>
      </c>
      <c r="C801" t="s">
        <v>34</v>
      </c>
      <c r="D801" t="s">
        <v>45</v>
      </c>
      <c r="E801">
        <v>389073</v>
      </c>
      <c r="F801">
        <v>7.2</v>
      </c>
      <c r="G801">
        <v>240</v>
      </c>
      <c r="H801">
        <v>57793</v>
      </c>
      <c r="I801">
        <v>779</v>
      </c>
      <c r="J801" t="s">
        <v>39</v>
      </c>
      <c r="K801">
        <v>20</v>
      </c>
      <c r="L801">
        <v>22.5</v>
      </c>
      <c r="M801" t="s">
        <v>19</v>
      </c>
      <c r="N801" s="7">
        <v>45655</v>
      </c>
      <c r="O801" t="str" cm="1">
        <f t="array" ref="O801">_xlfn.IFS(tbl_loans_clean[[#This Row],[Credit_Score]]&lt;650,"580-649",tbl_loans_clean[[#This Row],[Credit_Score]]&lt;700,"650-699",tbl_loans_clean[[#This Row],[Credit_Score]]&lt;750,"700-749",TRUE,"750+")</f>
        <v>750+</v>
      </c>
    </row>
  </sheetData>
  <dataValidations count="4">
    <dataValidation type="whole" operator="greaterThan" allowBlank="1" showInputMessage="1" showErrorMessage="1" sqref="E1:E801" xr:uid="{8FFDF797-0AF4-4498-9C89-4E2BC6884BBE}">
      <formula1>1</formula1>
    </dataValidation>
    <dataValidation type="decimal" allowBlank="1" showInputMessage="1" showErrorMessage="1" sqref="F1:F1048576" xr:uid="{0DE4ABC5-09AD-4649-A822-127DF6E63012}">
      <formula1>1</formula1>
      <formula2>25</formula2>
    </dataValidation>
    <dataValidation type="whole" allowBlank="1" showInputMessage="1" showErrorMessage="1" sqref="I1 I802:I1048576" xr:uid="{BE74FAA1-6277-4591-843E-D593C264F448}">
      <formula1>300</formula1>
      <formula2>900</formula2>
    </dataValidation>
    <dataValidation type="decimal" allowBlank="1" showInputMessage="1" showErrorMessage="1" sqref="K802:K1048576 L1:L801" xr:uid="{7DE90E9A-9CB5-42A6-84CF-BEF5ED3D10A3}">
      <formula1>0</formula1>
      <formula2>60</formula2>
    </dataValidation>
  </dataValidations>
  <pageMargins left="0.7" right="0.7" top="0.75" bottom="0.75" header="0.3" footer="0.3"/>
  <ignoredErrors>
    <ignoredError sqref="E1" listDataValidation="1"/>
  </ignoredErrors>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3F25B-0042-4761-92DE-7FA0EDBCF61B}">
  <sheetPr codeName="Sheet5"/>
  <dimension ref="A1:J50"/>
  <sheetViews>
    <sheetView tabSelected="1" topLeftCell="A3" zoomScale="59" zoomScaleNormal="86" workbookViewId="0">
      <selection activeCell="I38" sqref="I38"/>
    </sheetView>
  </sheetViews>
  <sheetFormatPr defaultRowHeight="14.5" x14ac:dyDescent="0.35"/>
  <cols>
    <col min="1" max="1" width="16.90625" bestFit="1" customWidth="1"/>
    <col min="2" max="2" width="23.08984375" bestFit="1" customWidth="1"/>
    <col min="3" max="3" width="10.7265625" bestFit="1" customWidth="1"/>
    <col min="4" max="4" width="15" bestFit="1" customWidth="1"/>
    <col min="5" max="5" width="16.453125" bestFit="1" customWidth="1"/>
    <col min="6" max="6" width="23.26953125" bestFit="1" customWidth="1"/>
    <col min="7" max="7" width="14.26953125" bestFit="1" customWidth="1"/>
    <col min="8" max="8" width="23.81640625" bestFit="1" customWidth="1"/>
    <col min="9" max="9" width="14.26953125" bestFit="1" customWidth="1"/>
    <col min="10" max="10" width="23.08984375" bestFit="1" customWidth="1"/>
    <col min="13" max="13" width="14.26953125" bestFit="1" customWidth="1"/>
    <col min="14" max="14" width="23.81640625" bestFit="1" customWidth="1"/>
  </cols>
  <sheetData>
    <row r="1" spans="1:8" x14ac:dyDescent="0.35">
      <c r="A1" s="3" t="s">
        <v>1</v>
      </c>
      <c r="B1" t="s">
        <v>901</v>
      </c>
    </row>
    <row r="2" spans="1:8" x14ac:dyDescent="0.35">
      <c r="A2" s="5" t="s">
        <v>884</v>
      </c>
      <c r="G2" s="5" t="s">
        <v>892</v>
      </c>
    </row>
    <row r="3" spans="1:8" x14ac:dyDescent="0.35">
      <c r="A3" t="s">
        <v>875</v>
      </c>
      <c r="B3" t="s">
        <v>876</v>
      </c>
      <c r="C3" t="s">
        <v>877</v>
      </c>
      <c r="D3" t="s">
        <v>878</v>
      </c>
      <c r="E3" t="s">
        <v>879</v>
      </c>
      <c r="G3" s="8" t="s">
        <v>873</v>
      </c>
      <c r="H3" s="8" t="s">
        <v>871</v>
      </c>
    </row>
    <row r="4" spans="1:8" x14ac:dyDescent="0.35">
      <c r="A4">
        <v>27.401374999999987</v>
      </c>
      <c r="B4">
        <v>710.28</v>
      </c>
      <c r="C4">
        <v>800</v>
      </c>
      <c r="D4">
        <v>8.7737750000000005</v>
      </c>
      <c r="E4" s="10">
        <v>304296293</v>
      </c>
      <c r="G4" s="4" t="s">
        <v>303</v>
      </c>
      <c r="H4">
        <v>5</v>
      </c>
    </row>
    <row r="5" spans="1:8" x14ac:dyDescent="0.35">
      <c r="G5" s="4" t="s">
        <v>110</v>
      </c>
      <c r="H5">
        <v>11</v>
      </c>
    </row>
    <row r="6" spans="1:8" x14ac:dyDescent="0.35">
      <c r="A6" s="5" t="s">
        <v>885</v>
      </c>
      <c r="G6" s="4" t="s">
        <v>21</v>
      </c>
      <c r="H6">
        <v>25</v>
      </c>
    </row>
    <row r="7" spans="1:8" x14ac:dyDescent="0.35">
      <c r="A7" s="1" t="s">
        <v>880</v>
      </c>
      <c r="B7" s="1" t="s">
        <v>883</v>
      </c>
      <c r="G7" s="4" t="s">
        <v>71</v>
      </c>
      <c r="H7">
        <v>27</v>
      </c>
    </row>
    <row r="8" spans="1:8" x14ac:dyDescent="0.35">
      <c r="A8" t="s">
        <v>879</v>
      </c>
      <c r="B8" s="10">
        <f>GETPIVOTDATA("Total Loan Amount",$A$3)</f>
        <v>304296293</v>
      </c>
      <c r="G8" s="4" t="s">
        <v>37</v>
      </c>
      <c r="H8">
        <v>27</v>
      </c>
    </row>
    <row r="9" spans="1:8" ht="18.5" x14ac:dyDescent="0.45">
      <c r="A9" t="s">
        <v>881</v>
      </c>
      <c r="B9" s="9">
        <f>GETPIVOTDATA("Total loan",$A$3)</f>
        <v>800</v>
      </c>
      <c r="G9" s="4" t="s">
        <v>83</v>
      </c>
      <c r="H9">
        <v>32</v>
      </c>
    </row>
    <row r="10" spans="1:8" ht="18.5" x14ac:dyDescent="0.45">
      <c r="A10" t="s">
        <v>878</v>
      </c>
      <c r="B10" s="14">
        <f>GETPIVOTDATA("Avg Interest Rate",$A$3)</f>
        <v>8.7737750000000005</v>
      </c>
      <c r="G10" s="4" t="s">
        <v>25</v>
      </c>
      <c r="H10">
        <v>90</v>
      </c>
    </row>
    <row r="11" spans="1:8" ht="18.5" x14ac:dyDescent="0.45">
      <c r="A11" t="s">
        <v>882</v>
      </c>
      <c r="B11" s="9">
        <f>GETPIVOTDATA("Avg Credit_Score",$A$3)</f>
        <v>710.28</v>
      </c>
      <c r="G11" s="4" t="s">
        <v>28</v>
      </c>
      <c r="H11">
        <v>112</v>
      </c>
    </row>
    <row r="12" spans="1:8" ht="18.5" x14ac:dyDescent="0.45">
      <c r="A12" t="s">
        <v>875</v>
      </c>
      <c r="B12" s="14">
        <f>GETPIVOTDATA("Avg DTI",$A$3)</f>
        <v>27.401374999999987</v>
      </c>
      <c r="G12" s="4" t="s">
        <v>15</v>
      </c>
      <c r="H12">
        <v>174</v>
      </c>
    </row>
    <row r="13" spans="1:8" x14ac:dyDescent="0.35">
      <c r="G13" s="4" t="s">
        <v>30</v>
      </c>
      <c r="H13">
        <v>297</v>
      </c>
    </row>
    <row r="14" spans="1:8" x14ac:dyDescent="0.35">
      <c r="A14" s="5" t="s">
        <v>890</v>
      </c>
      <c r="G14" s="4" t="s">
        <v>874</v>
      </c>
      <c r="H14">
        <v>800</v>
      </c>
    </row>
    <row r="15" spans="1:8" x14ac:dyDescent="0.35">
      <c r="A15" s="3" t="s">
        <v>873</v>
      </c>
      <c r="B15" t="s">
        <v>886</v>
      </c>
      <c r="C15" t="s">
        <v>887</v>
      </c>
      <c r="D15" s="1" t="s">
        <v>888</v>
      </c>
      <c r="E15" s="6">
        <f>(GETPIVOTDATA("Count",$A$15,"Loan_Status","Delinquent")+GETPIVOTDATA("Count",$A$15,"Loan_Status","Charged Off"))/GETPIVOTDATA("Count",$A$15)</f>
        <v>0.19125</v>
      </c>
    </row>
    <row r="16" spans="1:8" x14ac:dyDescent="0.35">
      <c r="A16" s="4" t="s">
        <v>48</v>
      </c>
      <c r="B16">
        <v>59</v>
      </c>
      <c r="C16">
        <v>20847272</v>
      </c>
      <c r="D16" s="1" t="s">
        <v>889</v>
      </c>
      <c r="E16" s="6">
        <f>(GETPIVOTDATA("Amount",$A$15,"Loan_Status","Delinquent")+GETPIVOTDATA("Amount",$A$15,"Loan_Status","Charged Off"))/GETPIVOTDATA("Amount",$A$15)</f>
        <v>0.18278099102574344</v>
      </c>
      <c r="G16" s="5" t="s">
        <v>898</v>
      </c>
    </row>
    <row r="17" spans="1:8" x14ac:dyDescent="0.35">
      <c r="A17" s="4" t="s">
        <v>23</v>
      </c>
      <c r="B17">
        <v>438</v>
      </c>
      <c r="C17">
        <v>169830117</v>
      </c>
      <c r="G17" s="3" t="s">
        <v>873</v>
      </c>
      <c r="H17" t="s">
        <v>914</v>
      </c>
    </row>
    <row r="18" spans="1:8" x14ac:dyDescent="0.35">
      <c r="A18" s="4" t="s">
        <v>55</v>
      </c>
      <c r="B18">
        <v>94</v>
      </c>
      <c r="C18">
        <v>34772306</v>
      </c>
      <c r="G18" s="4" t="s">
        <v>894</v>
      </c>
      <c r="H18" s="13">
        <v>8.9607042253521101</v>
      </c>
    </row>
    <row r="19" spans="1:8" x14ac:dyDescent="0.35">
      <c r="A19" s="4" t="s">
        <v>19</v>
      </c>
      <c r="B19">
        <v>209</v>
      </c>
      <c r="C19">
        <v>78846598</v>
      </c>
      <c r="G19" s="4" t="s">
        <v>896</v>
      </c>
      <c r="H19" s="13">
        <v>8.9159722222222264</v>
      </c>
    </row>
    <row r="20" spans="1:8" x14ac:dyDescent="0.35">
      <c r="A20" s="4" t="s">
        <v>874</v>
      </c>
      <c r="B20">
        <v>800</v>
      </c>
      <c r="C20">
        <v>304296293</v>
      </c>
      <c r="G20" s="4" t="s">
        <v>895</v>
      </c>
      <c r="H20" s="13">
        <v>8.8204999999999991</v>
      </c>
    </row>
    <row r="21" spans="1:8" x14ac:dyDescent="0.35">
      <c r="G21" s="4" t="s">
        <v>897</v>
      </c>
      <c r="H21" s="13">
        <v>8.5343109540636046</v>
      </c>
    </row>
    <row r="22" spans="1:8" x14ac:dyDescent="0.35">
      <c r="A22" s="5" t="s">
        <v>891</v>
      </c>
      <c r="G22" s="4" t="s">
        <v>874</v>
      </c>
      <c r="H22">
        <v>8.7737749999999988</v>
      </c>
    </row>
    <row r="23" spans="1:8" x14ac:dyDescent="0.35">
      <c r="A23" s="3" t="s">
        <v>873</v>
      </c>
      <c r="B23" t="s">
        <v>872</v>
      </c>
    </row>
    <row r="24" spans="1:8" x14ac:dyDescent="0.35">
      <c r="A24" s="4" t="s">
        <v>17</v>
      </c>
      <c r="B24" s="11">
        <v>0.35832296846284617</v>
      </c>
      <c r="G24" s="5" t="s">
        <v>900</v>
      </c>
    </row>
    <row r="25" spans="1:8" x14ac:dyDescent="0.35">
      <c r="A25" s="4" t="s">
        <v>32</v>
      </c>
      <c r="B25" s="11">
        <v>0.18437474031272541</v>
      </c>
      <c r="G25" s="3" t="s">
        <v>13</v>
      </c>
      <c r="H25" t="s">
        <v>872</v>
      </c>
    </row>
    <row r="26" spans="1:8" x14ac:dyDescent="0.35">
      <c r="A26" s="4" t="s">
        <v>45</v>
      </c>
      <c r="B26" s="11">
        <v>0.14897294526029603</v>
      </c>
      <c r="G26" s="4" t="s">
        <v>915</v>
      </c>
      <c r="H26">
        <v>75628905</v>
      </c>
    </row>
    <row r="27" spans="1:8" x14ac:dyDescent="0.35">
      <c r="A27" s="4" t="s">
        <v>38</v>
      </c>
      <c r="B27" s="11">
        <v>0.12937350833912392</v>
      </c>
      <c r="G27" s="4" t="s">
        <v>916</v>
      </c>
      <c r="H27">
        <v>75247538</v>
      </c>
    </row>
    <row r="28" spans="1:8" x14ac:dyDescent="0.35">
      <c r="A28" s="4" t="s">
        <v>43</v>
      </c>
      <c r="B28" s="11">
        <v>7.6710224662513385E-2</v>
      </c>
      <c r="G28" s="4" t="s">
        <v>899</v>
      </c>
      <c r="H28">
        <v>73912455</v>
      </c>
    </row>
    <row r="29" spans="1:8" x14ac:dyDescent="0.35">
      <c r="A29" s="4" t="s">
        <v>73</v>
      </c>
      <c r="B29" s="11">
        <v>5.3464548777792699E-2</v>
      </c>
      <c r="G29" s="4" t="s">
        <v>917</v>
      </c>
      <c r="H29">
        <v>79507395</v>
      </c>
    </row>
    <row r="30" spans="1:8" x14ac:dyDescent="0.35">
      <c r="A30" s="4" t="s">
        <v>52</v>
      </c>
      <c r="B30" s="11">
        <v>4.8781064184702377E-2</v>
      </c>
      <c r="G30" s="4" t="s">
        <v>874</v>
      </c>
      <c r="H30">
        <v>304296293</v>
      </c>
    </row>
    <row r="31" spans="1:8" x14ac:dyDescent="0.35">
      <c r="A31" s="4" t="s">
        <v>874</v>
      </c>
      <c r="B31" s="11">
        <v>1</v>
      </c>
    </row>
    <row r="32" spans="1:8" x14ac:dyDescent="0.35">
      <c r="G32" s="3" t="s">
        <v>1</v>
      </c>
      <c r="H32" t="s">
        <v>901</v>
      </c>
    </row>
    <row r="37" spans="9:10" x14ac:dyDescent="0.35">
      <c r="I37" s="3" t="s">
        <v>873</v>
      </c>
      <c r="J37" t="s">
        <v>872</v>
      </c>
    </row>
    <row r="38" spans="9:10" x14ac:dyDescent="0.35">
      <c r="I38" s="4" t="s">
        <v>902</v>
      </c>
      <c r="J38" s="10">
        <v>23666096</v>
      </c>
    </row>
    <row r="39" spans="9:10" x14ac:dyDescent="0.35">
      <c r="I39" s="4" t="s">
        <v>903</v>
      </c>
      <c r="J39" s="10">
        <v>23223632</v>
      </c>
    </row>
    <row r="40" spans="9:10" x14ac:dyDescent="0.35">
      <c r="I40" s="4" t="s">
        <v>904</v>
      </c>
      <c r="J40" s="10">
        <v>20467758</v>
      </c>
    </row>
    <row r="41" spans="9:10" x14ac:dyDescent="0.35">
      <c r="I41" s="4" t="s">
        <v>905</v>
      </c>
      <c r="J41" s="10">
        <v>31487952</v>
      </c>
    </row>
    <row r="42" spans="9:10" x14ac:dyDescent="0.35">
      <c r="I42" s="4" t="s">
        <v>906</v>
      </c>
      <c r="J42" s="10">
        <v>28342341</v>
      </c>
    </row>
    <row r="43" spans="9:10" x14ac:dyDescent="0.35">
      <c r="I43" s="4" t="s">
        <v>907</v>
      </c>
      <c r="J43" s="10">
        <v>26666993</v>
      </c>
    </row>
    <row r="44" spans="9:10" x14ac:dyDescent="0.35">
      <c r="I44" s="4" t="s">
        <v>908</v>
      </c>
      <c r="J44" s="10">
        <v>26423642</v>
      </c>
    </row>
    <row r="45" spans="9:10" x14ac:dyDescent="0.35">
      <c r="I45" s="4" t="s">
        <v>909</v>
      </c>
      <c r="J45" s="10">
        <v>29777754</v>
      </c>
    </row>
    <row r="46" spans="9:10" x14ac:dyDescent="0.35">
      <c r="I46" s="4" t="s">
        <v>910</v>
      </c>
      <c r="J46" s="10">
        <v>19506397</v>
      </c>
    </row>
    <row r="47" spans="9:10" x14ac:dyDescent="0.35">
      <c r="I47" s="4" t="s">
        <v>911</v>
      </c>
      <c r="J47" s="10">
        <v>23227084</v>
      </c>
    </row>
    <row r="48" spans="9:10" x14ac:dyDescent="0.35">
      <c r="I48" s="4" t="s">
        <v>912</v>
      </c>
      <c r="J48" s="10">
        <v>25591587</v>
      </c>
    </row>
    <row r="49" spans="9:10" x14ac:dyDescent="0.35">
      <c r="I49" s="4" t="s">
        <v>913</v>
      </c>
      <c r="J49" s="10">
        <v>25915057</v>
      </c>
    </row>
    <row r="50" spans="9:10" x14ac:dyDescent="0.35">
      <c r="I50" s="4" t="s">
        <v>874</v>
      </c>
      <c r="J50" s="10">
        <v>304296293</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A86C1-A693-420C-845E-8BAA5FD1E381}">
  <sheetPr codeName="Sheet6"/>
  <dimension ref="A1"/>
  <sheetViews>
    <sheetView showGridLines="0" topLeftCell="A3" zoomScale="68" zoomScaleNormal="55" workbookViewId="0">
      <selection activeCell="V9" sqref="V9"/>
    </sheetView>
  </sheetViews>
  <sheetFormatPr defaultRowHeight="14.5" x14ac:dyDescent="0.35"/>
  <cols>
    <col min="1" max="16384" width="8.726562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data_dictionary</vt:lpstr>
      <vt:lpstr>data_quality check</vt:lpstr>
      <vt:lpstr>data_clean</vt:lpstr>
      <vt:lpstr>Pivot_KPIs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Sartaj Gaddi</dc:creator>
  <cp:lastModifiedBy>Sartaj Gaddi</cp:lastModifiedBy>
  <dcterms:created xsi:type="dcterms:W3CDTF">2026-01-03T18:47:37Z</dcterms:created>
  <dcterms:modified xsi:type="dcterms:W3CDTF">2026-01-28T04:15:33Z</dcterms:modified>
</cp:coreProperties>
</file>